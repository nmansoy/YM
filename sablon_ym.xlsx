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802637be409e53a/Numan/"/>
    </mc:Choice>
  </mc:AlternateContent>
  <xr:revisionPtr revIDLastSave="15" documentId="8_{650F84C2-0649-40C5-8DD9-2E73E9612886}" xr6:coauthVersionLast="47" xr6:coauthVersionMax="47" xr10:uidLastSave="{42AE5974-E8A1-43CE-AE9C-9B36D7FF11A2}"/>
  <bookViews>
    <workbookView xWindow="-120" yWindow="-120" windowWidth="38640" windowHeight="21240" xr2:uid="{17381A71-8A69-4006-98C0-4B7CF069976B}"/>
  </bookViews>
  <sheets>
    <sheet name="ÇIKTI" sheetId="3" r:id="rId1"/>
    <sheet name="İhaleNo_Adet_YM_Birimler" sheetId="2" r:id="rId2"/>
    <sheet name="Birim_Fiyat_Oluşturma" sheetId="5" r:id="rId3"/>
    <sheet name="Birim_Fiyat_İyileştirme" sheetId="4" r:id="rId4"/>
  </sheets>
  <externalReferences>
    <externalReference r:id="rId5"/>
  </externalReferences>
  <definedNames>
    <definedName name="_xlnm.Print_Area" localSheetId="3">Birim_Fiyat_İyileştirme!$A$1:$F$14</definedName>
    <definedName name="_xlnm.Print_Area" localSheetId="2">Birim_Fiyat_Oluşturma!$A$1:$F$13</definedName>
    <definedName name="_xlnm.Print_Area" localSheetId="0">ÇIKTI!$A$1:$O$29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2" i="5" l="1"/>
  <c r="F13" i="5" s="1"/>
  <c r="E20" i="4"/>
  <c r="F20" i="4" s="1"/>
  <c r="F12" i="4"/>
  <c r="F11" i="4"/>
  <c r="F10" i="4"/>
  <c r="F9" i="4"/>
  <c r="F8" i="4"/>
  <c r="F7" i="4"/>
  <c r="F6" i="4"/>
  <c r="F5" i="4"/>
  <c r="F4" i="4"/>
  <c r="F3" i="4"/>
  <c r="F13" i="4" s="1"/>
  <c r="F14" i="4" s="1"/>
  <c r="F9" i="3"/>
  <c r="D9" i="3"/>
  <c r="E9" i="3" s="1"/>
  <c r="F6" i="3"/>
  <c r="D6" i="3"/>
  <c r="E6" i="3" s="1"/>
  <c r="F5" i="3"/>
  <c r="D5" i="3"/>
  <c r="E5" i="3" s="1"/>
  <c r="F8" i="2"/>
  <c r="H9" i="2"/>
  <c r="F6" i="2"/>
  <c r="E6" i="2"/>
  <c r="F5" i="2"/>
  <c r="E5" i="2"/>
  <c r="F4" i="2"/>
  <c r="F9" i="2" s="1"/>
  <c r="E4" i="2"/>
  <c r="E9" i="2" s="1"/>
  <c r="E10" i="3" l="1"/>
  <c r="F10" i="3"/>
  <c r="D10" i="3"/>
  <c r="H9" i="3" l="1"/>
  <c r="G6" i="3" l="1"/>
  <c r="H6" i="3"/>
  <c r="H5" i="3"/>
  <c r="G9" i="3"/>
  <c r="J9" i="3" s="1"/>
  <c r="K9" i="3" s="1"/>
  <c r="L9" i="3" s="1"/>
  <c r="H10" i="3" l="1"/>
  <c r="G5" i="3"/>
  <c r="J6" i="3"/>
  <c r="K6" i="3" s="1"/>
  <c r="L6" i="3" s="1"/>
  <c r="G7" i="2"/>
  <c r="G6" i="2"/>
  <c r="J5" i="3" l="1"/>
  <c r="G10" i="3"/>
  <c r="G5" i="2"/>
  <c r="K5" i="3" l="1"/>
  <c r="K10" i="3" s="1"/>
  <c r="J10" i="3"/>
  <c r="L5" i="3"/>
  <c r="L10" i="3" s="1"/>
  <c r="G8" i="2" l="1"/>
  <c r="G4" i="2"/>
  <c r="G9" i="2" s="1"/>
</calcChain>
</file>

<file path=xl/sharedStrings.xml><?xml version="1.0" encoding="utf-8"?>
<sst xmlns="http://schemas.openxmlformats.org/spreadsheetml/2006/main" count="118" uniqueCount="84">
  <si>
    <t>İŞİN TANIMI, MİKTARI VE YAKLAŞIK MALİYETİ</t>
  </si>
  <si>
    <t>İHALE PAKET NO</t>
  </si>
  <si>
    <t>Toplam Pafta Sayısı</t>
  </si>
  <si>
    <t>Toplam Mimari Proje Sayısı</t>
  </si>
  <si>
    <t>YAKLAŞIK MALİYET (TL-KDV Hariç)</t>
  </si>
  <si>
    <t>BİRİMLER</t>
  </si>
  <si>
    <t>O-5</t>
  </si>
  <si>
    <r>
      <t>Artvin</t>
    </r>
    <r>
      <rPr>
        <sz val="11"/>
        <color theme="1"/>
        <rFont val="Times New Roman"/>
        <family val="1"/>
        <charset val="162"/>
      </rPr>
      <t xml:space="preserve"> (Kemalpaşa) ,</t>
    </r>
    <r>
      <rPr>
        <b/>
        <sz val="11"/>
        <color theme="1"/>
        <rFont val="Times New Roman"/>
        <family val="1"/>
        <charset val="162"/>
      </rPr>
      <t xml:space="preserve"> Balıkesir</t>
    </r>
    <r>
      <rPr>
        <sz val="11"/>
        <color theme="1"/>
        <rFont val="Times New Roman"/>
        <family val="1"/>
        <charset val="162"/>
      </rPr>
      <t xml:space="preserve"> (Ayvalık, Balya, Bandırma, Bigadiç, Burhaniye, Dursunbey, Edremit, Erdek, Gömeç, Gönen, Havran, İvrindi, Kepsut, Manyas, Marmara, Sındırgı, Susurluk) ,</t>
    </r>
    <r>
      <rPr>
        <b/>
        <sz val="11"/>
        <color theme="1"/>
        <rFont val="Times New Roman"/>
        <family val="1"/>
        <charset val="162"/>
      </rPr>
      <t>Çanakkale</t>
    </r>
    <r>
      <rPr>
        <sz val="11"/>
        <color theme="1"/>
        <rFont val="Times New Roman"/>
        <family val="1"/>
        <charset val="162"/>
      </rPr>
      <t xml:space="preserve"> (Ayvacık, Bayramiç, Biga, Bozcaada, Çan, Ezine, Gelibolu, Gökçeada, Lapseki) ,</t>
    </r>
    <r>
      <rPr>
        <b/>
        <sz val="11"/>
        <color theme="1"/>
        <rFont val="Times New Roman"/>
        <family val="1"/>
        <charset val="162"/>
      </rPr>
      <t>Denizli</t>
    </r>
    <r>
      <rPr>
        <sz val="11"/>
        <color theme="1"/>
        <rFont val="Times New Roman"/>
        <family val="1"/>
        <charset val="162"/>
      </rPr>
      <t xml:space="preserve"> (Acıpayam, Babadağ, Baklan, Bekilli, Beyağaç, Bozkurt, Buldan, Çal, Çameli, Çardak, Çivril, Güney, Kale, Sarayköy, Serinhisar, Tavas) ,</t>
    </r>
    <r>
      <rPr>
        <b/>
        <sz val="11"/>
        <color theme="1"/>
        <rFont val="Times New Roman"/>
        <family val="1"/>
        <charset val="162"/>
      </rPr>
      <t>Diyarbakır</t>
    </r>
    <r>
      <rPr>
        <sz val="11"/>
        <color theme="1"/>
        <rFont val="Times New Roman"/>
        <family val="1"/>
        <charset val="162"/>
      </rPr>
      <t xml:space="preserve"> (Bismil, Çermik, Çınar, Dicle, Ergani, Hani, Kulp, Lice, Silvan) ,</t>
    </r>
    <r>
      <rPr>
        <b/>
        <sz val="11"/>
        <color theme="1"/>
        <rFont val="Times New Roman"/>
        <family val="1"/>
        <charset val="162"/>
      </rPr>
      <t>Iğdır</t>
    </r>
    <r>
      <rPr>
        <sz val="11"/>
        <color theme="1"/>
        <rFont val="Times New Roman"/>
        <family val="1"/>
        <charset val="162"/>
      </rPr>
      <t xml:space="preserve"> (Tuzluca) ,</t>
    </r>
    <r>
      <rPr>
        <b/>
        <sz val="11"/>
        <color theme="1"/>
        <rFont val="Times New Roman"/>
        <family val="1"/>
        <charset val="162"/>
      </rPr>
      <t xml:space="preserve"> Kayseri</t>
    </r>
    <r>
      <rPr>
        <sz val="11"/>
        <color theme="1"/>
        <rFont val="Times New Roman"/>
        <family val="1"/>
        <charset val="162"/>
      </rPr>
      <t xml:space="preserve"> (Bünyan, Develi, Pınarbaşı, Sarıoğlan, Sarız, Tomarza, Yahyalı, Yeşilhisar) ,</t>
    </r>
    <r>
      <rPr>
        <b/>
        <sz val="11"/>
        <color theme="1"/>
        <rFont val="Times New Roman"/>
        <family val="1"/>
        <charset val="162"/>
      </rPr>
      <t>Kırklareli</t>
    </r>
    <r>
      <rPr>
        <sz val="11"/>
        <color theme="1"/>
        <rFont val="Times New Roman"/>
        <family val="1"/>
        <charset val="162"/>
      </rPr>
      <t xml:space="preserve"> (Babaeski, Demirköy, Lüleburgaz, Pehlivanköy, Pınarhisar, Vize) ,</t>
    </r>
    <r>
      <rPr>
        <b/>
        <sz val="11"/>
        <color theme="1"/>
        <rFont val="Times New Roman"/>
        <family val="1"/>
        <charset val="162"/>
      </rPr>
      <t xml:space="preserve"> Muğla</t>
    </r>
    <r>
      <rPr>
        <sz val="11"/>
        <color theme="1"/>
        <rFont val="Times New Roman"/>
        <family val="1"/>
        <charset val="162"/>
      </rPr>
      <t xml:space="preserve"> (Dalaman, Kavaklıdere, Milas, Ortaca, Seydikemer, Ula, Yatağan) ,</t>
    </r>
    <r>
      <rPr>
        <b/>
        <sz val="11"/>
        <color theme="1"/>
        <rFont val="Times New Roman"/>
        <family val="1"/>
        <charset val="162"/>
      </rPr>
      <t>Samsun</t>
    </r>
    <r>
      <rPr>
        <sz val="11"/>
        <color theme="1"/>
        <rFont val="Times New Roman"/>
        <family val="1"/>
        <charset val="162"/>
      </rPr>
      <t xml:space="preserve"> (Alaçam, Asarcık, Ayvacık, Bafra, Çarşamba, Havza, Kavak, Ladik, Salıpazarı, Terme, Vezirköprü, Yakakent) ,</t>
    </r>
    <r>
      <rPr>
        <b/>
        <sz val="11"/>
        <color theme="1"/>
        <rFont val="Times New Roman"/>
        <family val="1"/>
        <charset val="162"/>
      </rPr>
      <t>Van</t>
    </r>
    <r>
      <rPr>
        <sz val="11"/>
        <color theme="1"/>
        <rFont val="Times New Roman"/>
        <family val="1"/>
        <charset val="162"/>
      </rPr>
      <t xml:space="preserve"> (Çaldıran, Erciş, Gevaş, Muradiye, Özalp)</t>
    </r>
  </si>
  <si>
    <t>O-6</t>
  </si>
  <si>
    <r>
      <t>Adana</t>
    </r>
    <r>
      <rPr>
        <sz val="11"/>
        <color theme="1"/>
        <rFont val="Times New Roman"/>
        <family val="1"/>
        <charset val="162"/>
      </rPr>
      <t xml:space="preserve"> (Aladağ, Ceyhan, Feke, İmamoğlu, Karataş, Kozan, Pozantı, Saimbeyli, Tufanbeyli, Yumurtalık) ,</t>
    </r>
    <r>
      <rPr>
        <b/>
        <sz val="11"/>
        <color theme="1"/>
        <rFont val="Times New Roman"/>
        <family val="1"/>
        <charset val="162"/>
      </rPr>
      <t>Antalya</t>
    </r>
    <r>
      <rPr>
        <sz val="11"/>
        <color theme="1"/>
        <rFont val="Times New Roman"/>
        <family val="1"/>
        <charset val="162"/>
      </rPr>
      <t xml:space="preserve"> (Akseki, Alanya, Demre, Elmalı, Finike, Gazipaşa, Gündoğmuş, İbradı, Kaş, Kemer, Korkuteli, Kumluca) ,</t>
    </r>
    <r>
      <rPr>
        <b/>
        <sz val="11"/>
        <color theme="1"/>
        <rFont val="Times New Roman"/>
        <family val="1"/>
        <charset val="162"/>
      </rPr>
      <t>Aydın</t>
    </r>
    <r>
      <rPr>
        <sz val="11"/>
        <color theme="1"/>
        <rFont val="Times New Roman"/>
        <family val="1"/>
        <charset val="162"/>
      </rPr>
      <t xml:space="preserve"> (Bozdoğan, Buharkent, Çine, Didim, Germencik, Karacasu, Karpuzlu, Koçarlı, Köşk, Kuyucak, Nazilli, Söke, Sultanhisar, Yenipazar) ,</t>
    </r>
    <r>
      <rPr>
        <b/>
        <sz val="11"/>
        <color theme="1"/>
        <rFont val="Times New Roman"/>
        <family val="1"/>
        <charset val="162"/>
      </rPr>
      <t>Edirne</t>
    </r>
    <r>
      <rPr>
        <sz val="11"/>
        <color theme="1"/>
        <rFont val="Times New Roman"/>
        <family val="1"/>
        <charset val="162"/>
      </rPr>
      <t xml:space="preserve"> (Havsa, İpsala, Keşan, Lalapaşa, Meriç, Süloğlu, Uzunköprü) ,</t>
    </r>
    <r>
      <rPr>
        <b/>
        <sz val="11"/>
        <color theme="1"/>
        <rFont val="Times New Roman"/>
        <family val="1"/>
        <charset val="162"/>
      </rPr>
      <t>Eskişehir</t>
    </r>
    <r>
      <rPr>
        <sz val="11"/>
        <color theme="1"/>
        <rFont val="Times New Roman"/>
        <family val="1"/>
        <charset val="162"/>
      </rPr>
      <t xml:space="preserve"> (Çifteler, İnönü, Mahmudiye, Mihalıççık, Sarıcakaya, Seyitgazi, Sivrihisar) ,</t>
    </r>
    <r>
      <rPr>
        <b/>
        <sz val="11"/>
        <color theme="1"/>
        <rFont val="Times New Roman"/>
        <family val="1"/>
        <charset val="162"/>
      </rPr>
      <t>Mardin</t>
    </r>
    <r>
      <rPr>
        <sz val="11"/>
        <color theme="1"/>
        <rFont val="Times New Roman"/>
        <family val="1"/>
        <charset val="162"/>
      </rPr>
      <t xml:space="preserve"> (Dargeçit, Derik, Mazıdağı, Midyat, Ömerli, Savur) ,</t>
    </r>
    <r>
      <rPr>
        <b/>
        <sz val="11"/>
        <color theme="1"/>
        <rFont val="Times New Roman"/>
        <family val="1"/>
        <charset val="162"/>
      </rPr>
      <t>Mersin</t>
    </r>
    <r>
      <rPr>
        <sz val="11"/>
        <color theme="1"/>
        <rFont val="Times New Roman"/>
        <family val="1"/>
        <charset val="162"/>
      </rPr>
      <t xml:space="preserve"> (Anamur, Aydıncık, Bozyazı, Çamlıyayla, Erdemli, Gülnar, Mut, Silifke) ,</t>
    </r>
    <r>
      <rPr>
        <b/>
        <sz val="11"/>
        <color theme="1"/>
        <rFont val="Times New Roman"/>
        <family val="1"/>
        <charset val="162"/>
      </rPr>
      <t>Ordu</t>
    </r>
    <r>
      <rPr>
        <sz val="11"/>
        <color theme="1"/>
        <rFont val="Times New Roman"/>
        <family val="1"/>
        <charset val="162"/>
      </rPr>
      <t xml:space="preserve"> (Akkuş, Aybastı, Çamaş, Çatalpınar, Çaybaşı, Gölköy, Gürgentepe, İkizce, Kabataş, Korgan, Kumru, Mesudiye, Ulubey) ,</t>
    </r>
    <r>
      <rPr>
        <b/>
        <sz val="11"/>
        <color theme="1"/>
        <rFont val="Times New Roman"/>
        <family val="1"/>
        <charset val="162"/>
      </rPr>
      <t>Şanlıurfa</t>
    </r>
    <r>
      <rPr>
        <sz val="11"/>
        <color theme="1"/>
        <rFont val="Times New Roman"/>
        <family val="1"/>
        <charset val="162"/>
      </rPr>
      <t xml:space="preserve"> (Birecik, Bozova, Halfeti, Harran, Hilvan, Siverek, Viranşehir) ,</t>
    </r>
    <r>
      <rPr>
        <b/>
        <sz val="11"/>
        <color theme="1"/>
        <rFont val="Times New Roman"/>
        <family val="1"/>
        <charset val="162"/>
      </rPr>
      <t>Tokat</t>
    </r>
    <r>
      <rPr>
        <sz val="11"/>
        <color theme="1"/>
        <rFont val="Times New Roman"/>
        <family val="1"/>
        <charset val="162"/>
      </rPr>
      <t xml:space="preserve"> (Turhal) ,</t>
    </r>
    <r>
      <rPr>
        <b/>
        <sz val="11"/>
        <color theme="1"/>
        <rFont val="Times New Roman"/>
        <family val="1"/>
        <charset val="162"/>
      </rPr>
      <t>Trabzon</t>
    </r>
    <r>
      <rPr>
        <sz val="11"/>
        <color theme="1"/>
        <rFont val="Times New Roman"/>
        <family val="1"/>
        <charset val="162"/>
      </rPr>
      <t xml:space="preserve"> (Araklı, Beşikdüzü, Çarşıbaşı, Çaykara, Düzköy, Maçka, Of, Sürmene, Şalpazarı, Tonya, Vakfıkebir) ,</t>
    </r>
    <r>
      <rPr>
        <b/>
        <sz val="11"/>
        <color theme="1"/>
        <rFont val="Times New Roman"/>
        <family val="1"/>
        <charset val="162"/>
      </rPr>
      <t>Yalova</t>
    </r>
    <r>
      <rPr>
        <sz val="11"/>
        <color theme="1"/>
        <rFont val="Times New Roman"/>
        <family val="1"/>
        <charset val="162"/>
      </rPr>
      <t xml:space="preserve"> (Armutlu)</t>
    </r>
  </si>
  <si>
    <t>O-7</t>
  </si>
  <si>
    <r>
      <t>Ankara</t>
    </r>
    <r>
      <rPr>
        <sz val="11"/>
        <color theme="1"/>
        <rFont val="Times New Roman"/>
        <family val="1"/>
        <charset val="162"/>
      </rPr>
      <t xml:space="preserve"> (Ayaş, Bala, Beypazarı, Çamlıdere, Elmadağ, Güdül, Haymana, Kahramankazan, Kalecik, Kızılcahamam, Nallıhan, Polatlı, Şereflikoçhisar), </t>
    </r>
    <r>
      <rPr>
        <b/>
        <sz val="11"/>
        <color theme="1"/>
        <rFont val="Times New Roman"/>
        <family val="1"/>
        <charset val="162"/>
      </rPr>
      <t>Ardahan</t>
    </r>
    <r>
      <rPr>
        <sz val="11"/>
        <color theme="1"/>
        <rFont val="Times New Roman"/>
        <family val="1"/>
        <charset val="162"/>
      </rPr>
      <t xml:space="preserve"> (Çıldır, Posof), </t>
    </r>
    <r>
      <rPr>
        <b/>
        <sz val="11"/>
        <color theme="1"/>
        <rFont val="Times New Roman"/>
        <family val="1"/>
        <charset val="162"/>
      </rPr>
      <t>Erzurum</t>
    </r>
    <r>
      <rPr>
        <sz val="11"/>
        <color theme="1"/>
        <rFont val="Times New Roman"/>
        <family val="1"/>
        <charset val="162"/>
      </rPr>
      <t xml:space="preserve"> (Aşkale, Çat, Hınıs, Horasan, İspir, Karayazı, Narman, Oltu, Olur, Pasinler, Şenkaya, Tekman, Tortum, Uzundere)</t>
    </r>
    <r>
      <rPr>
        <b/>
        <sz val="11"/>
        <color theme="1"/>
        <rFont val="Times New Roman"/>
        <family val="1"/>
        <charset val="162"/>
      </rPr>
      <t xml:space="preserve"> İzmir</t>
    </r>
    <r>
      <rPr>
        <sz val="11"/>
        <color theme="1"/>
        <rFont val="Times New Roman"/>
        <family val="1"/>
        <charset val="162"/>
      </rPr>
      <t xml:space="preserve"> (Aliağa, Bayındır, Bergama, Beydağ, Çeşme, Dikili, Foça, Karaburun, Kemalpaşa, Kınık, Kiraz, Ödemiş, Tire), </t>
    </r>
    <r>
      <rPr>
        <b/>
        <sz val="11"/>
        <color theme="1"/>
        <rFont val="Times New Roman"/>
        <family val="1"/>
        <charset val="162"/>
      </rPr>
      <t>Malatya</t>
    </r>
    <r>
      <rPr>
        <sz val="11"/>
        <color theme="1"/>
        <rFont val="Times New Roman"/>
        <family val="1"/>
        <charset val="162"/>
      </rPr>
      <t xml:space="preserve"> (Arapgir, Arguvan, Hekimhan) ,</t>
    </r>
    <r>
      <rPr>
        <b/>
        <sz val="11"/>
        <color theme="1"/>
        <rFont val="Times New Roman"/>
        <family val="1"/>
        <charset val="162"/>
      </rPr>
      <t xml:space="preserve"> Manisa</t>
    </r>
    <r>
      <rPr>
        <sz val="11"/>
        <color theme="1"/>
        <rFont val="Times New Roman"/>
        <family val="1"/>
        <charset val="162"/>
      </rPr>
      <t xml:space="preserve"> (Ahmetli, Alaşehir, Demirci, Gölmarmara, Gördes, Kırkağaç, Köprübaşı, Kula, Sarıgöl, Saruhanlı, Selendi, Soma) ,</t>
    </r>
    <r>
      <rPr>
        <b/>
        <sz val="11"/>
        <color theme="1"/>
        <rFont val="Times New Roman"/>
        <family val="1"/>
        <charset val="162"/>
      </rPr>
      <t>Osmaniye</t>
    </r>
    <r>
      <rPr>
        <sz val="11"/>
        <color theme="1"/>
        <rFont val="Times New Roman"/>
        <family val="1"/>
        <charset val="162"/>
      </rPr>
      <t xml:space="preserve"> (Bahçe, Düziçi, Hasanbeyli, Kadirli) ,</t>
    </r>
    <r>
      <rPr>
        <b/>
        <sz val="11"/>
        <color theme="1"/>
        <rFont val="Times New Roman"/>
        <family val="1"/>
        <charset val="162"/>
      </rPr>
      <t>Tekirdağ</t>
    </r>
    <r>
      <rPr>
        <sz val="11"/>
        <color theme="1"/>
        <rFont val="Times New Roman"/>
        <family val="1"/>
        <charset val="162"/>
      </rPr>
      <t xml:space="preserve"> (Çerkezköy, Çorlu, Ergene, Hayrabolu, Kapaklı, Malkara, Muratlı, Saray, Şarköy)</t>
    </r>
  </si>
  <si>
    <t>TOPLAM</t>
  </si>
  <si>
    <t>YAKLAŞIK MALİYET (TL-KDV Dahil)</t>
  </si>
  <si>
    <t>O-8</t>
  </si>
  <si>
    <t>O-9</t>
  </si>
  <si>
    <t>TAPU VE KADASTRO GENEL MÜDÜRLÜĞÜ
YEŞİL VE SÜRDÜRÜLEBİLİR KALKINMA İÇİN ARAZİ YÖNETİM ALTYAPISI PROJESİ
(AYAP)
Kredi No: 9531-TR</t>
  </si>
  <si>
    <t>3B ŞEHİR MODELLERİNİN OLUŞTURULMASI
İŞİ (Grup 3)
RFB Referans No.: NCS-A1/O-2026/1</t>
  </si>
  <si>
    <t>SIRA NO</t>
  </si>
  <si>
    <t>SÖZLEŞME REFERANS NO</t>
  </si>
  <si>
    <t>İŞ ALANLARI</t>
  </si>
  <si>
    <t>TOPLAM
PAFTA</t>
  </si>
  <si>
    <r>
      <t>TOPLAM
ALAN
km</t>
    </r>
    <r>
      <rPr>
        <b/>
        <vertAlign val="superscript"/>
        <sz val="14"/>
        <rFont val="Arial"/>
        <family val="2"/>
        <charset val="162"/>
      </rPr>
      <t>2</t>
    </r>
  </si>
  <si>
    <t>Projesi Olan Mimari Bina Sayısı *</t>
  </si>
  <si>
    <t>Fotogrametrik Model Üretim (Teknik Şartnamenin 2, 3, 4, 5, 9 Nolu Kalemleri)
(Birim F. 4893.58 TL)
(** ,*** ,****,*****)</t>
  </si>
  <si>
    <t>3D Mimari Bina
Modelleme
Üretim (Teknik Şartnamenin 1, 6, 7,  8 Nolu Kalemleri) 
(Birim F. 301.27 TL)
(****,******)</t>
  </si>
  <si>
    <t>HAM YAKLAŞIK MALİYET
TL</t>
  </si>
  <si>
    <t>Yüklenici
Karı
%20
TL</t>
  </si>
  <si>
    <t>TOPLAM 
YAKLAŞIK
MALİYET
TL</t>
  </si>
  <si>
    <t>PAKET AÇIKLAMA</t>
  </si>
  <si>
    <t>2026/A1/O-5</t>
  </si>
  <si>
    <r>
      <t>Artvin</t>
    </r>
    <r>
      <rPr>
        <sz val="14"/>
        <color theme="1"/>
        <rFont val="Times New Roman"/>
        <family val="1"/>
        <charset val="162"/>
      </rPr>
      <t xml:space="preserve"> (Kemalpaşa) ,</t>
    </r>
    <r>
      <rPr>
        <b/>
        <sz val="14"/>
        <color theme="1"/>
        <rFont val="Times New Roman"/>
        <family val="1"/>
        <charset val="162"/>
      </rPr>
      <t xml:space="preserve"> Balıkesir</t>
    </r>
    <r>
      <rPr>
        <sz val="14"/>
        <color theme="1"/>
        <rFont val="Times New Roman"/>
        <family val="1"/>
        <charset val="162"/>
      </rPr>
      <t xml:space="preserve"> (Ayvalık, Balya, Bandırma, Bigadiç, Burhaniye, Dursunbey, Edremit, Erdek, Gömeç, Gönen, Havran, İvrindi, Kepsut, Manyas, Marmara, Sındırgı, Susurluk) ,</t>
    </r>
    <r>
      <rPr>
        <b/>
        <sz val="14"/>
        <color theme="1"/>
        <rFont val="Times New Roman"/>
        <family val="1"/>
        <charset val="162"/>
      </rPr>
      <t>Çanakkale</t>
    </r>
    <r>
      <rPr>
        <sz val="14"/>
        <color theme="1"/>
        <rFont val="Times New Roman"/>
        <family val="1"/>
        <charset val="162"/>
      </rPr>
      <t xml:space="preserve"> (Ayvacık, Bayramiç, Biga, Bozcaada, Çan, Ezine, Gelibolu, Gökçeada, Lapseki) ,</t>
    </r>
    <r>
      <rPr>
        <b/>
        <sz val="14"/>
        <color theme="1"/>
        <rFont val="Times New Roman"/>
        <family val="1"/>
        <charset val="162"/>
      </rPr>
      <t>Denizli</t>
    </r>
    <r>
      <rPr>
        <sz val="14"/>
        <color theme="1"/>
        <rFont val="Times New Roman"/>
        <family val="1"/>
        <charset val="162"/>
      </rPr>
      <t xml:space="preserve"> (Acıpayam, Babadağ, Baklan, Bekilli, Beyağaç, Bozkurt, Buldan, Çal, Çameli, Çardak, Çivril, Güney, Kale, Sarayköy, Serinhisar, Tavas) ,</t>
    </r>
    <r>
      <rPr>
        <b/>
        <sz val="14"/>
        <color theme="1"/>
        <rFont val="Times New Roman"/>
        <family val="1"/>
        <charset val="162"/>
      </rPr>
      <t>Diyarbakır</t>
    </r>
    <r>
      <rPr>
        <sz val="14"/>
        <color theme="1"/>
        <rFont val="Times New Roman"/>
        <family val="1"/>
        <charset val="162"/>
      </rPr>
      <t xml:space="preserve"> (Bismil, Çermik, Çınar, Dicle, Ergani, Hani, Kulp, Lice, Silvan) ,</t>
    </r>
    <r>
      <rPr>
        <b/>
        <sz val="14"/>
        <color theme="1"/>
        <rFont val="Times New Roman"/>
        <family val="1"/>
        <charset val="162"/>
      </rPr>
      <t>Iğdır</t>
    </r>
    <r>
      <rPr>
        <sz val="14"/>
        <color theme="1"/>
        <rFont val="Times New Roman"/>
        <family val="1"/>
        <charset val="162"/>
      </rPr>
      <t xml:space="preserve"> (Tuzluca) ,</t>
    </r>
    <r>
      <rPr>
        <b/>
        <sz val="14"/>
        <color theme="1"/>
        <rFont val="Times New Roman"/>
        <family val="1"/>
        <charset val="162"/>
      </rPr>
      <t xml:space="preserve"> Kayseri</t>
    </r>
    <r>
      <rPr>
        <sz val="14"/>
        <color theme="1"/>
        <rFont val="Times New Roman"/>
        <family val="1"/>
        <charset val="162"/>
      </rPr>
      <t xml:space="preserve"> (Bünyan, Develi, Pınarbaşı, Sarıoğlan, Sarız, Tomarza, Yahyalı, Yeşilhisar) ,</t>
    </r>
    <r>
      <rPr>
        <b/>
        <sz val="14"/>
        <color theme="1"/>
        <rFont val="Times New Roman"/>
        <family val="1"/>
        <charset val="162"/>
      </rPr>
      <t>Kırklareli</t>
    </r>
    <r>
      <rPr>
        <sz val="14"/>
        <color theme="1"/>
        <rFont val="Times New Roman"/>
        <family val="1"/>
        <charset val="162"/>
      </rPr>
      <t xml:space="preserve"> (Babaeski, Demirköy, Lüleburgaz, Pehlivanköy, Pınarhisar, Vize) ,</t>
    </r>
    <r>
      <rPr>
        <b/>
        <sz val="14"/>
        <color theme="1"/>
        <rFont val="Times New Roman"/>
        <family val="1"/>
        <charset val="162"/>
      </rPr>
      <t xml:space="preserve"> Muğla</t>
    </r>
    <r>
      <rPr>
        <sz val="14"/>
        <color theme="1"/>
        <rFont val="Times New Roman"/>
        <family val="1"/>
        <charset val="162"/>
      </rPr>
      <t xml:space="preserve"> (Dalaman, Kavaklıdere, Milas, Ortaca, Seydikemer, Ula, Yatağan) ,</t>
    </r>
    <r>
      <rPr>
        <b/>
        <sz val="14"/>
        <color theme="1"/>
        <rFont val="Times New Roman"/>
        <family val="1"/>
        <charset val="162"/>
      </rPr>
      <t>Samsun</t>
    </r>
    <r>
      <rPr>
        <sz val="14"/>
        <color theme="1"/>
        <rFont val="Times New Roman"/>
        <family val="1"/>
        <charset val="162"/>
      </rPr>
      <t xml:space="preserve"> (Alaçam, Asarcık, Ayvacık, Bafra, Çarşamba, Havza, Kavak, Ladik, Salıpazarı, Terme, Vezirköprü, Yakakent) ,</t>
    </r>
    <r>
      <rPr>
        <b/>
        <sz val="14"/>
        <color theme="1"/>
        <rFont val="Times New Roman"/>
        <family val="1"/>
        <charset val="162"/>
      </rPr>
      <t>Van</t>
    </r>
    <r>
      <rPr>
        <sz val="14"/>
        <color theme="1"/>
        <rFont val="Times New Roman"/>
        <family val="1"/>
        <charset val="162"/>
      </rPr>
      <t xml:space="preserve"> (Çaldıran, Erciş, Gevaş, Muradiye, Özalp)</t>
    </r>
  </si>
  <si>
    <t>2026/A1/O-6</t>
  </si>
  <si>
    <r>
      <t>Adana</t>
    </r>
    <r>
      <rPr>
        <sz val="14"/>
        <color theme="1"/>
        <rFont val="Times New Roman"/>
        <family val="1"/>
        <charset val="162"/>
      </rPr>
      <t xml:space="preserve"> (Aladağ, Ceyhan, Feke, İmamoğlu, Karataş, Kozan, Pozantı, Saimbeyli, Tufanbeyli, Yumurtalık) ,</t>
    </r>
    <r>
      <rPr>
        <b/>
        <sz val="14"/>
        <color theme="1"/>
        <rFont val="Times New Roman"/>
        <family val="1"/>
        <charset val="162"/>
      </rPr>
      <t>Antalya</t>
    </r>
    <r>
      <rPr>
        <sz val="14"/>
        <color theme="1"/>
        <rFont val="Times New Roman"/>
        <family val="1"/>
        <charset val="162"/>
      </rPr>
      <t xml:space="preserve"> (Akseki, Alanya, Demre, Elmalı, Finike, Gazipaşa, Gündoğmuş, İbradı, Kaş, Kemer, Korkuteli, Kumluca) ,</t>
    </r>
    <r>
      <rPr>
        <b/>
        <sz val="14"/>
        <color theme="1"/>
        <rFont val="Times New Roman"/>
        <family val="1"/>
        <charset val="162"/>
      </rPr>
      <t>Aydın</t>
    </r>
    <r>
      <rPr>
        <sz val="14"/>
        <color theme="1"/>
        <rFont val="Times New Roman"/>
        <family val="1"/>
        <charset val="162"/>
      </rPr>
      <t xml:space="preserve"> (Bozdoğan, Buharkent, Çine, Didim, Germencik, Karacasu, Karpuzlu, Koçarlı, Köşk, Kuyucak, Nazilli, Söke, Sultanhisar, Yenipazar) ,</t>
    </r>
    <r>
      <rPr>
        <b/>
        <sz val="14"/>
        <color theme="1"/>
        <rFont val="Times New Roman"/>
        <family val="1"/>
        <charset val="162"/>
      </rPr>
      <t>Edirne</t>
    </r>
    <r>
      <rPr>
        <sz val="14"/>
        <color theme="1"/>
        <rFont val="Times New Roman"/>
        <family val="1"/>
        <charset val="162"/>
      </rPr>
      <t xml:space="preserve"> (Havsa, İpsala, Keşan, Lalapaşa, Meriç, Süloğlu, Uzunköprü) ,</t>
    </r>
    <r>
      <rPr>
        <b/>
        <sz val="14"/>
        <color theme="1"/>
        <rFont val="Times New Roman"/>
        <family val="1"/>
        <charset val="162"/>
      </rPr>
      <t>Eskişehir</t>
    </r>
    <r>
      <rPr>
        <sz val="14"/>
        <color theme="1"/>
        <rFont val="Times New Roman"/>
        <family val="1"/>
        <charset val="162"/>
      </rPr>
      <t xml:space="preserve"> (Çifteler, İnönü, Mahmudiye, Mihalıççık, Sarıcakaya, Seyitgazi, Sivrihisar) ,</t>
    </r>
    <r>
      <rPr>
        <b/>
        <sz val="14"/>
        <color theme="1"/>
        <rFont val="Times New Roman"/>
        <family val="1"/>
        <charset val="162"/>
      </rPr>
      <t>Mardin</t>
    </r>
    <r>
      <rPr>
        <sz val="14"/>
        <color theme="1"/>
        <rFont val="Times New Roman"/>
        <family val="1"/>
        <charset val="162"/>
      </rPr>
      <t xml:space="preserve"> (Dargeçit, Derik, Mazıdağı, Midyat, Ömerli, Savur) ,</t>
    </r>
    <r>
      <rPr>
        <b/>
        <sz val="14"/>
        <color theme="1"/>
        <rFont val="Times New Roman"/>
        <family val="1"/>
        <charset val="162"/>
      </rPr>
      <t>Mersin</t>
    </r>
    <r>
      <rPr>
        <sz val="14"/>
        <color theme="1"/>
        <rFont val="Times New Roman"/>
        <family val="1"/>
        <charset val="162"/>
      </rPr>
      <t xml:space="preserve"> (Anamur, Aydıncık, Bozyazı, Çamlıyayla, Erdemli, Gülnar, Mut, Silifke) ,</t>
    </r>
    <r>
      <rPr>
        <b/>
        <sz val="14"/>
        <color theme="1"/>
        <rFont val="Times New Roman"/>
        <family val="1"/>
        <charset val="162"/>
      </rPr>
      <t>Ordu</t>
    </r>
    <r>
      <rPr>
        <sz val="14"/>
        <color theme="1"/>
        <rFont val="Times New Roman"/>
        <family val="1"/>
        <charset val="162"/>
      </rPr>
      <t xml:space="preserve"> (Akkuş, Aybastı, Çamaş, Çatalpınar, Çaybaşı, Gölköy, Gürgentepe, İkizce, Kabataş, Korgan, Kumru, Mesudiye, Ulubey) ,</t>
    </r>
    <r>
      <rPr>
        <b/>
        <sz val="14"/>
        <color theme="1"/>
        <rFont val="Times New Roman"/>
        <family val="1"/>
        <charset val="162"/>
      </rPr>
      <t>Şanlıurfa</t>
    </r>
    <r>
      <rPr>
        <sz val="14"/>
        <color theme="1"/>
        <rFont val="Times New Roman"/>
        <family val="1"/>
        <charset val="162"/>
      </rPr>
      <t xml:space="preserve"> (Birecik, Bozova, Halfeti, Harran, Hilvan, Siverek, Viranşehir) ,</t>
    </r>
    <r>
      <rPr>
        <b/>
        <sz val="14"/>
        <color theme="1"/>
        <rFont val="Times New Roman"/>
        <family val="1"/>
        <charset val="162"/>
      </rPr>
      <t>Tokat</t>
    </r>
    <r>
      <rPr>
        <sz val="14"/>
        <color theme="1"/>
        <rFont val="Times New Roman"/>
        <family val="1"/>
        <charset val="162"/>
      </rPr>
      <t xml:space="preserve"> (Turhal) ,</t>
    </r>
    <r>
      <rPr>
        <b/>
        <sz val="14"/>
        <color theme="1"/>
        <rFont val="Times New Roman"/>
        <family val="1"/>
        <charset val="162"/>
      </rPr>
      <t>Trabzon</t>
    </r>
    <r>
      <rPr>
        <sz val="14"/>
        <color theme="1"/>
        <rFont val="Times New Roman"/>
        <family val="1"/>
        <charset val="162"/>
      </rPr>
      <t xml:space="preserve"> (Araklı, Beşikdüzü, Çarşıbaşı, Çaykara, Düzköy, Maçka, Of, Sürmene, Şalpazarı, Tonya, Vakfıkebir) ,</t>
    </r>
    <r>
      <rPr>
        <b/>
        <sz val="14"/>
        <color theme="1"/>
        <rFont val="Times New Roman"/>
        <family val="1"/>
        <charset val="162"/>
      </rPr>
      <t>Yalova</t>
    </r>
    <r>
      <rPr>
        <sz val="14"/>
        <color theme="1"/>
        <rFont val="Times New Roman"/>
        <family val="1"/>
        <charset val="162"/>
      </rPr>
      <t xml:space="preserve"> (Armutlu)</t>
    </r>
  </si>
  <si>
    <t>2026/A1/O-7</t>
  </si>
  <si>
    <r>
      <t>Ankara</t>
    </r>
    <r>
      <rPr>
        <sz val="14"/>
        <color theme="1"/>
        <rFont val="Times New Roman"/>
        <family val="1"/>
        <charset val="162"/>
      </rPr>
      <t xml:space="preserve"> (Ayaş, Bala, Beypazarı, Çamlıdere, Elmadağ, Güdül, Haymana, Kahramankazan, Kalecik, Kızılcahamam, Nallıhan, Polatlı, Şereflikoçhisar), </t>
    </r>
    <r>
      <rPr>
        <b/>
        <sz val="14"/>
        <color theme="1"/>
        <rFont val="Times New Roman"/>
        <family val="1"/>
        <charset val="162"/>
      </rPr>
      <t>Ardahan</t>
    </r>
    <r>
      <rPr>
        <sz val="14"/>
        <color theme="1"/>
        <rFont val="Times New Roman"/>
        <family val="1"/>
        <charset val="162"/>
      </rPr>
      <t xml:space="preserve"> (Çıldır, Posof), </t>
    </r>
    <r>
      <rPr>
        <b/>
        <sz val="14"/>
        <color theme="1"/>
        <rFont val="Times New Roman"/>
        <family val="1"/>
        <charset val="162"/>
      </rPr>
      <t>Erzurum</t>
    </r>
    <r>
      <rPr>
        <sz val="14"/>
        <color theme="1"/>
        <rFont val="Times New Roman"/>
        <family val="1"/>
        <charset val="162"/>
      </rPr>
      <t xml:space="preserve"> (Aşkale, Çat, Hınıs, Horasan, İspir, Karayazı, Narman, Oltu, Olur, Pasinler, Şenkaya, Tekman, Tortum, Uzundere)</t>
    </r>
    <r>
      <rPr>
        <b/>
        <sz val="14"/>
        <color theme="1"/>
        <rFont val="Times New Roman"/>
        <family val="1"/>
        <charset val="162"/>
      </rPr>
      <t xml:space="preserve"> İzmir</t>
    </r>
    <r>
      <rPr>
        <sz val="14"/>
        <color theme="1"/>
        <rFont val="Times New Roman"/>
        <family val="1"/>
        <charset val="162"/>
      </rPr>
      <t xml:space="preserve"> (Aliağa, Bayındır, Bergama, Beydağ, Çeşme, Dikili, Foça, Karaburun, Kemalpaşa, Kınık, Kiraz, Ödemiş, Tire), </t>
    </r>
    <r>
      <rPr>
        <b/>
        <sz val="14"/>
        <color theme="1"/>
        <rFont val="Times New Roman"/>
        <family val="1"/>
        <charset val="162"/>
      </rPr>
      <t>Malatya</t>
    </r>
    <r>
      <rPr>
        <sz val="14"/>
        <color theme="1"/>
        <rFont val="Times New Roman"/>
        <family val="1"/>
        <charset val="162"/>
      </rPr>
      <t xml:space="preserve"> (Arapgir, Arguvan, Hekimhan) ,</t>
    </r>
    <r>
      <rPr>
        <b/>
        <sz val="14"/>
        <color theme="1"/>
        <rFont val="Times New Roman"/>
        <family val="1"/>
        <charset val="162"/>
      </rPr>
      <t xml:space="preserve"> Manisa</t>
    </r>
    <r>
      <rPr>
        <sz val="14"/>
        <color theme="1"/>
        <rFont val="Times New Roman"/>
        <family val="1"/>
        <charset val="162"/>
      </rPr>
      <t xml:space="preserve"> (Ahmetli, Alaşehir, Demirci, Gölmarmara, Gördes, Kırkağaç, Köprübaşı, Kula, Sarıgöl, Saruhanlı, Selendi, Soma) ,</t>
    </r>
    <r>
      <rPr>
        <b/>
        <sz val="14"/>
        <color theme="1"/>
        <rFont val="Times New Roman"/>
        <family val="1"/>
        <charset val="162"/>
      </rPr>
      <t>Osmaniye</t>
    </r>
    <r>
      <rPr>
        <sz val="14"/>
        <color theme="1"/>
        <rFont val="Times New Roman"/>
        <family val="1"/>
        <charset val="162"/>
      </rPr>
      <t xml:space="preserve"> (Bahçe, Düziçi, Hasanbeyli, Kadirli) ,</t>
    </r>
    <r>
      <rPr>
        <b/>
        <sz val="14"/>
        <color theme="1"/>
        <rFont val="Times New Roman"/>
        <family val="1"/>
        <charset val="162"/>
      </rPr>
      <t>Tekirdağ</t>
    </r>
    <r>
      <rPr>
        <sz val="14"/>
        <color theme="1"/>
        <rFont val="Times New Roman"/>
        <family val="1"/>
        <charset val="162"/>
      </rPr>
      <t xml:space="preserve"> (Çerkezköy, Çorlu, Ergene, Hayrabolu, Kapaklı, Malkara, Muratlı, Saray, Şarköy)</t>
    </r>
  </si>
  <si>
    <t xml:space="preserve">TOPLAM </t>
  </si>
  <si>
    <t>Komisyonumuzca yaklaşık maliyetlerin belirlenmesinde;</t>
  </si>
  <si>
    <t>* Mimari proje sayıları Başkanlığımıza Bilgi Teknolojileri Dairesi Başkanlığından gelen veriler değerlendirilerek belirlenmiştir.</t>
  </si>
  <si>
    <t>** Bakanlıklar Arası Harita İşlerini Planlama ve Koordinasyon Kurulunun ( BHİKPK) 2025 yılı Bütçe aktarımına esas fiyat listesinde yer alan iş kalemlerinin fiyatları kullanılarak belirlenmiştir.</t>
  </si>
  <si>
    <t>***Bakanlıklar Arası Harita İşlerini Planlama ve Koordinasyon Kurulunun ( BHİKPK) 2025 yılı Bütçe aktarımına esas fiyat listesinde yer alan iş kalemlerinin fiyatları ile 2022 yılında ihalesi gerçekleştirilen benzer işlerdeki 2025 yılı güncel birim fiyatların ortalamaları kullanılarak belirlenmiştir.</t>
  </si>
  <si>
    <t>****Yİ - ÜFE Yurt İçi Üretici Fiyat Endeksi ve Değişim Oranı kullanılarak belirlenmiştir.</t>
  </si>
  <si>
    <t>***** 18.12.2025 tarihli Komisyonumuzca imza altına alından rapora göre Teknik Şartnameye Mesh Model Üretimi de eklenmiş olup, bu üretimin zaman ,maliyet ve yüksek kapasiteli donanım altyapısı gerektirdiği için Fotogrametrik Model Üretim Kalemlerinde %8 artış yapılmıştır.</t>
  </si>
  <si>
    <t>****** 18.12.2025 tarihli Komisyonumuzca imza altına alınan rapora göre 3D Mimari Bina Modelleme Üretim kalemlerine %20 oranında artış yapılmıştır.</t>
  </si>
  <si>
    <t xml:space="preserve">Ekrem AYYILDIZ  </t>
  </si>
  <si>
    <t xml:space="preserve">Hülya TUNA                 </t>
  </si>
  <si>
    <t xml:space="preserve">Numan SOYYİĞİT </t>
  </si>
  <si>
    <t xml:space="preserve">Nihat ÇETİNOĞLU </t>
  </si>
  <si>
    <t>Nurdan BALABAN</t>
  </si>
  <si>
    <t>Harita Dairesi Başkanı</t>
  </si>
  <si>
    <t>Mühendis</t>
  </si>
  <si>
    <t>TK Uzmanı</t>
  </si>
  <si>
    <t>Sıra No</t>
  </si>
  <si>
    <t>İş Kaleminin Adı ve Kısa Açıklaması</t>
  </si>
  <si>
    <t>Birimi</t>
  </si>
  <si>
    <t>Miktarı</t>
  </si>
  <si>
    <t>Birim Fiyat</t>
  </si>
  <si>
    <t>Fiyat</t>
  </si>
  <si>
    <t>(a)</t>
  </si>
  <si>
    <t>(b)</t>
  </si>
  <si>
    <t>(a*b)</t>
  </si>
  <si>
    <r>
      <t>Daha Önce Üretime Dahil Olan ve Olmayan Mimari Projeler ve Bağımsız Bölüm Listeleri ile, Üretilmiş</t>
    </r>
    <r>
      <rPr>
        <sz val="10"/>
        <color rgb="FFEE0000"/>
        <rFont val="Times New Roman"/>
        <family val="1"/>
        <charset val="162"/>
      </rPr>
      <t xml:space="preserve"> </t>
    </r>
    <r>
      <rPr>
        <sz val="10"/>
        <color theme="1"/>
        <rFont val="Times New Roman"/>
        <family val="1"/>
        <charset val="162"/>
      </rPr>
      <t>Vektörel</t>
    </r>
    <r>
      <rPr>
        <sz val="10"/>
        <color rgb="FF000000"/>
        <rFont val="Times New Roman"/>
        <family val="1"/>
        <charset val="162"/>
      </rPr>
      <t xml:space="preserve"> Dosyalarının Gözden Geçirilmesi Karşılaştırılması ve İdareye Raporlanmasi</t>
    </r>
  </si>
  <si>
    <t>Bina</t>
  </si>
  <si>
    <t>Fotogrametrik Veri Üretimi İçin Nadir ve Eğik Hava Fotoğraflarının Dengelenmesi</t>
  </si>
  <si>
    <t>Pafta</t>
  </si>
  <si>
    <t>Fotogrametrik Veri Üretimi; (Sayısal Yüzey Modeli, Sayısal Arazi Modeli, Nokta Bulutu, Gerçek Ortofoto Üretimi ve Mesh Model Üretimi)</t>
  </si>
  <si>
    <t>Daha Önce Üretilen Fotogrametrik Olarak Üretilmiş Binalara Ait Vektör Verilerin Kontrolü, Eksik, Hatalı ve Yeni Yapılar ile Zemine ait 3B Vektör Verilerin Fotogrametrik Yöntemle Üretimi</t>
  </si>
  <si>
    <t>Yeni Yapılara ait 3B Fotogrametrik Yapı Modellerinin Oluşturulması ve Kaplanması ile Daha Önce Üretilen 3B Fotogrametrik Yapı Modellerinin Güncel Veriler ile Kaplanması, Üretimi Gerçekleştirilen 3B Fotogrametrik Yapı Modellerinin Güncel TKGM Verileri ve Güncel MAKS Verileri ile Entegre Edilerek TKGM CityGML Veri Modeline Dönüştürülmesi,</t>
  </si>
  <si>
    <t>Mimari Projelerden Vektörel Verilerin Üretimi ile Bu Veriler Kullanılarak 3B Sayısal Mimari Yapı Modellerinin Üretimi</t>
  </si>
  <si>
    <t>Daha Önce Üretilen 3B Mimari Sayısal Yapıların Model ile Vektörel Dosyalarının Kontrolü ve Revizyonu Gereken 3B Mimari Sayısal Yapı Modellerinin Güncel GML Model Versiyonu İle Üretilmesi/İyileştirilmesi</t>
  </si>
  <si>
    <t>3B Mimari Sayısal Yapı Modellerinin Konumlandırılması ile 3B Mimari ve Fotogrametrik Sayısal Yapı Modellerinin Karşılıklı Kontrolü, Bulunan Hataların Giderilmesi ve Raporlanması</t>
  </si>
  <si>
    <t>Üretimi Gerçekleştirilen 3B Mimari Sayısal Yapı Modellerinin Güncel TKGM Verileri ve Güncel MAKS Verileri ile Entegre Edilerek TKGMCityGML Veri Modeline Dönüştürülmesi,</t>
  </si>
  <si>
    <t>Üretimi Tamamlanan Veri ve Modellerin İdareye Teslim Edilmesi</t>
  </si>
  <si>
    <t>Toplam</t>
  </si>
  <si>
    <t>Toplam KDV (%20)</t>
  </si>
  <si>
    <t>Yüklenici Karı Dahil Yaklaşık Maliyet (KDV Hariç)</t>
  </si>
  <si>
    <t>Mimari Proje, Taşınmaz Listeleri Verilerin İncelenmesi ve Raporlanması</t>
  </si>
  <si>
    <t>Fotogrametrik Veri Üretimi İçin Nadir ve Eğik Hava Fotoğraflarının Dengeleme Çalışmaları</t>
  </si>
  <si>
    <t xml:space="preserve">Fotogrametrik Veri Üretimi; (Sayısal Yüzey Modeli, Sayısal Arazi Modeli, Nokta Bulutu, Gerçek Ortofoto Üretimi ve Mesh Model Üretimi) </t>
  </si>
  <si>
    <t>Yapılara ve Zemine ait 3B Vektör Verilerin Fotogrametrik Yöntemle Üretimi</t>
  </si>
  <si>
    <t>3B Fotogrametrik Yapı Modellerinin Oluşturulması ve Kaplanması, Üretimi Gerçekleştirilen 3B Fotogrametrik Yapı Modellerinin Güncel TKGM Verileri ve Güncel MAKS Verileri ile Entegre Edilerek TKGM CityGML Veri Modeline Dönüştürülmesi,</t>
  </si>
  <si>
    <t xml:space="preserve">Mimari Projelerden Vektörel Verilerin Üretimi (Cad) ve 3B Sayısal Mimari Yapı Modellerinin (Cad) Üretimi </t>
  </si>
  <si>
    <t>3B Mimari Yapı Modellerinin Konumlandırılması ve 3B Mimari ve Fotogrametrik Yapı Modellerinin Karşılıklı Kontrolü, Bulunan Hataların Giderilmesi ve Raporlanması</t>
  </si>
  <si>
    <t>Üretimi Gerçekleştirilen 3B Mimari Yapı Modellerinin Güncel TKGM Verileri ve Güncel MAKS Verileri ile Entegre Edilerek TKGM CityGML Veri Modeline Dönüştürülmesi,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</si>
</sst>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quot;₺&quot;#,##0.00"/>
    <numFmt numFmtId="165" formatCode="#,##0.00\ _₺"/>
  </numFmts>
  <fonts count="29" x14ac:knownFonts="1">
    <font>
      <sz val="11"/>
      <color theme="1"/>
      <name val="Aptos Narrow"/>
      <family val="2"/>
      <charset val="162"/>
      <scheme val="minor"/>
    </font>
    <font>
      <b/>
      <sz val="11"/>
      <color theme="1"/>
      <name val="Aptos Narrow"/>
      <family val="2"/>
      <charset val="162"/>
      <scheme val="minor"/>
    </font>
    <font>
      <b/>
      <sz val="16"/>
      <color theme="1"/>
      <name val="Aptos Narrow"/>
      <family val="2"/>
      <charset val="162"/>
      <scheme val="minor"/>
    </font>
    <font>
      <b/>
      <sz val="12"/>
      <color theme="1"/>
      <name val="Aptos Narrow"/>
      <family val="2"/>
      <charset val="162"/>
      <scheme val="minor"/>
    </font>
    <font>
      <sz val="11"/>
      <color theme="1"/>
      <name val="Times New Roman"/>
      <family val="1"/>
      <charset val="162"/>
    </font>
    <font>
      <b/>
      <sz val="11"/>
      <color theme="1"/>
      <name val="Times New Roman"/>
      <family val="1"/>
      <charset val="162"/>
    </font>
    <font>
      <b/>
      <sz val="11"/>
      <color rgb="FF000000"/>
      <name val="Times New Roman"/>
      <family val="1"/>
      <charset val="162"/>
    </font>
    <font>
      <b/>
      <sz val="20"/>
      <color theme="1"/>
      <name val="Arial"/>
      <family val="2"/>
      <charset val="162"/>
    </font>
    <font>
      <b/>
      <sz val="18"/>
      <name val="Arial"/>
      <family val="2"/>
      <charset val="162"/>
    </font>
    <font>
      <b/>
      <sz val="14"/>
      <name val="Arial"/>
      <family val="2"/>
      <charset val="162"/>
    </font>
    <font>
      <b/>
      <vertAlign val="superscript"/>
      <sz val="14"/>
      <name val="Arial"/>
      <family val="2"/>
      <charset val="162"/>
    </font>
    <font>
      <sz val="20"/>
      <color theme="1"/>
      <name val="Aptos Narrow"/>
      <family val="2"/>
      <charset val="162"/>
      <scheme val="minor"/>
    </font>
    <font>
      <b/>
      <sz val="14"/>
      <color theme="1"/>
      <name val="Times New Roman"/>
      <family val="1"/>
      <charset val="162"/>
    </font>
    <font>
      <sz val="14"/>
      <color theme="1"/>
      <name val="Times New Roman"/>
      <family val="1"/>
      <charset val="162"/>
    </font>
    <font>
      <sz val="20"/>
      <name val="Arial"/>
      <family val="2"/>
      <charset val="162"/>
    </font>
    <font>
      <sz val="13"/>
      <name val="Arial"/>
      <family val="2"/>
      <charset val="162"/>
    </font>
    <font>
      <b/>
      <sz val="20"/>
      <name val="Arial"/>
      <family val="2"/>
      <charset val="162"/>
    </font>
    <font>
      <sz val="18"/>
      <name val="Aptos Narrow"/>
      <family val="2"/>
      <charset val="162"/>
      <scheme val="minor"/>
    </font>
    <font>
      <sz val="12"/>
      <color theme="1"/>
      <name val="Aptos Narrow"/>
      <family val="2"/>
      <charset val="162"/>
      <scheme val="minor"/>
    </font>
    <font>
      <sz val="18"/>
      <color theme="1"/>
      <name val="Aptos Narrow"/>
      <family val="2"/>
      <charset val="162"/>
      <scheme val="minor"/>
    </font>
    <font>
      <sz val="16"/>
      <color theme="1"/>
      <name val="Aptos Narrow"/>
      <family val="2"/>
      <charset val="162"/>
      <scheme val="minor"/>
    </font>
    <font>
      <sz val="10"/>
      <color theme="1"/>
      <name val="Aptos Narrow"/>
      <family val="2"/>
      <charset val="162"/>
      <scheme val="minor"/>
    </font>
    <font>
      <b/>
      <sz val="10"/>
      <color rgb="FF000000"/>
      <name val="Times New Roman"/>
      <family val="1"/>
      <charset val="162"/>
    </font>
    <font>
      <b/>
      <sz val="10"/>
      <color theme="1"/>
      <name val="Times New Roman"/>
      <family val="1"/>
      <charset val="162"/>
    </font>
    <font>
      <sz val="10"/>
      <color rgb="FF000000"/>
      <name val="Times New Roman"/>
      <family val="1"/>
      <charset val="162"/>
    </font>
    <font>
      <sz val="10"/>
      <color rgb="FFEE0000"/>
      <name val="Times New Roman"/>
      <family val="1"/>
      <charset val="162"/>
    </font>
    <font>
      <sz val="10"/>
      <color theme="1"/>
      <name val="Times New Roman"/>
      <family val="1"/>
      <charset val="162"/>
    </font>
    <font>
      <b/>
      <sz val="11"/>
      <color rgb="FF000000"/>
      <name val="Calibri"/>
      <family val="2"/>
      <charset val="162"/>
    </font>
    <font>
      <b/>
      <sz val="12"/>
      <color theme="1"/>
      <name val="Times New Roman"/>
      <family val="1"/>
      <charset val="162"/>
    </font>
  </fonts>
  <fills count="2">
    <fill>
      <patternFill patternType="none"/>
    </fill>
    <fill>
      <patternFill patternType="gray125"/>
    </fill>
  </fills>
  <borders count="36">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auto="1"/>
      </left>
      <right style="medium">
        <color auto="1"/>
      </right>
      <top style="medium">
        <color auto="1"/>
      </top>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07">
    <xf numFmtId="0" fontId="0" fillId="0" borderId="0" xfId="0"/>
    <xf numFmtId="0" fontId="3" fillId="0" borderId="2" xfId="0" applyFont="1" applyBorder="1" applyAlignment="1">
      <alignment horizontal="center" vertical="justify"/>
    </xf>
    <xf numFmtId="0" fontId="3" fillId="0" borderId="3" xfId="0" applyFont="1" applyBorder="1" applyAlignment="1">
      <alignment horizontal="center" vertical="justify"/>
    </xf>
    <xf numFmtId="0" fontId="3" fillId="0" borderId="4" xfId="0" applyFont="1" applyBorder="1" applyAlignment="1">
      <alignment horizontal="center" vertical="justify"/>
    </xf>
    <xf numFmtId="0" fontId="0" fillId="0" borderId="5" xfId="0" applyBorder="1" applyAlignment="1">
      <alignment horizontal="center" vertical="center" wrapText="1"/>
    </xf>
    <xf numFmtId="0" fontId="1" fillId="0" borderId="6" xfId="0" applyFont="1" applyBorder="1" applyAlignment="1">
      <alignment horizontal="center" vertical="center"/>
    </xf>
    <xf numFmtId="164" fontId="1" fillId="0" borderId="6" xfId="0" applyNumberFormat="1" applyFont="1" applyBorder="1" applyAlignment="1">
      <alignment horizontal="center" vertical="center"/>
    </xf>
    <xf numFmtId="164" fontId="1" fillId="0" borderId="7" xfId="0" applyNumberFormat="1" applyFont="1" applyBorder="1" applyAlignment="1">
      <alignment horizontal="center" vertical="center" wrapText="1"/>
    </xf>
    <xf numFmtId="0" fontId="6" fillId="0" borderId="0" xfId="0" applyFont="1" applyAlignment="1">
      <alignment wrapText="1"/>
    </xf>
    <xf numFmtId="0" fontId="0" fillId="0" borderId="8" xfId="0" applyBorder="1" applyAlignment="1">
      <alignment horizontal="center" vertical="center" wrapText="1"/>
    </xf>
    <xf numFmtId="0" fontId="1" fillId="0" borderId="9" xfId="0" applyFont="1" applyBorder="1" applyAlignment="1">
      <alignment horizontal="center" vertical="center"/>
    </xf>
    <xf numFmtId="164" fontId="1" fillId="0" borderId="9" xfId="0" applyNumberFormat="1" applyFont="1" applyBorder="1" applyAlignment="1">
      <alignment horizontal="center" vertical="center"/>
    </xf>
    <xf numFmtId="0" fontId="5" fillId="0" borderId="0" xfId="0" applyFont="1" applyAlignment="1">
      <alignment wrapText="1"/>
    </xf>
    <xf numFmtId="0" fontId="3" fillId="0" borderId="10" xfId="0" applyFont="1" applyBorder="1" applyAlignment="1">
      <alignment horizontal="center" vertical="justify"/>
    </xf>
    <xf numFmtId="0" fontId="3" fillId="0" borderId="11" xfId="0" applyFont="1" applyBorder="1" applyAlignment="1">
      <alignment horizontal="center" vertical="justify"/>
    </xf>
    <xf numFmtId="164" fontId="3" fillId="0" borderId="11" xfId="0" applyNumberFormat="1" applyFont="1" applyBorder="1" applyAlignment="1">
      <alignment horizontal="center" vertical="justify"/>
    </xf>
    <xf numFmtId="0" fontId="0" fillId="0" borderId="12" xfId="0" applyBorder="1" applyAlignment="1">
      <alignment horizontal="center" vertical="justify"/>
    </xf>
    <xf numFmtId="164" fontId="1" fillId="0" borderId="13" xfId="0" applyNumberFormat="1" applyFont="1" applyBorder="1" applyAlignment="1">
      <alignment horizontal="center" vertical="center"/>
    </xf>
    <xf numFmtId="164" fontId="1" fillId="0" borderId="14" xfId="0" applyNumberFormat="1" applyFont="1" applyBorder="1" applyAlignment="1">
      <alignment horizontal="center" vertical="center"/>
    </xf>
    <xf numFmtId="164" fontId="3" fillId="0" borderId="15" xfId="0" applyNumberFormat="1" applyFont="1" applyBorder="1" applyAlignment="1">
      <alignment horizontal="center" vertical="justify"/>
    </xf>
    <xf numFmtId="0" fontId="0" fillId="0" borderId="0" xfId="0"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3" xfId="0" applyFont="1" applyBorder="1" applyAlignment="1">
      <alignment horizontal="center" vertical="center"/>
    </xf>
    <xf numFmtId="0" fontId="11" fillId="0" borderId="5" xfId="0" applyFont="1" applyBorder="1" applyAlignment="1">
      <alignment horizontal="center" vertical="center" wrapText="1"/>
    </xf>
    <xf numFmtId="0" fontId="12" fillId="0" borderId="0" xfId="0" applyFont="1" applyAlignment="1">
      <alignment vertical="center" wrapText="1"/>
    </xf>
    <xf numFmtId="0" fontId="14" fillId="0" borderId="6" xfId="0" applyFont="1" applyBorder="1" applyAlignment="1">
      <alignment horizontal="center" vertical="center"/>
    </xf>
    <xf numFmtId="1" fontId="14" fillId="0" borderId="6" xfId="0" applyNumberFormat="1" applyFont="1" applyBorder="1" applyAlignment="1">
      <alignment horizontal="center" vertical="center"/>
    </xf>
    <xf numFmtId="165" fontId="14" fillId="0" borderId="6" xfId="0" applyNumberFormat="1" applyFont="1" applyBorder="1" applyAlignment="1">
      <alignment horizontal="center" vertical="center" wrapText="1"/>
    </xf>
    <xf numFmtId="0" fontId="12" fillId="0" borderId="6" xfId="0" applyFont="1" applyBorder="1" applyAlignment="1">
      <alignment vertical="center" wrapText="1"/>
    </xf>
    <xf numFmtId="0" fontId="12" fillId="0" borderId="6" xfId="0" applyFont="1" applyBorder="1" applyAlignment="1">
      <alignment horizontal="left" vertical="center" wrapText="1"/>
    </xf>
    <xf numFmtId="0" fontId="14" fillId="0" borderId="9" xfId="0" applyFont="1" applyBorder="1" applyAlignment="1">
      <alignment horizontal="center" vertical="center"/>
    </xf>
    <xf numFmtId="1" fontId="14" fillId="0" borderId="9" xfId="0" applyNumberFormat="1" applyFont="1" applyBorder="1" applyAlignment="1">
      <alignment horizontal="center" vertical="center"/>
    </xf>
    <xf numFmtId="1" fontId="16" fillId="0" borderId="11" xfId="0" applyNumberFormat="1" applyFont="1" applyBorder="1" applyAlignment="1">
      <alignment horizontal="center" vertical="center"/>
    </xf>
    <xf numFmtId="165" fontId="16" fillId="0" borderId="11" xfId="0" applyNumberFormat="1" applyFont="1" applyBorder="1" applyAlignment="1">
      <alignment horizontal="center" vertical="center"/>
    </xf>
    <xf numFmtId="0" fontId="18" fillId="0" borderId="17" xfId="0" applyFont="1" applyBorder="1"/>
    <xf numFmtId="0" fontId="18" fillId="0" borderId="0" xfId="0" applyFont="1"/>
    <xf numFmtId="0" fontId="18" fillId="0" borderId="0" xfId="0" applyFont="1" applyAlignment="1">
      <alignment horizontal="center"/>
    </xf>
    <xf numFmtId="0" fontId="18" fillId="0" borderId="0" xfId="0" applyFont="1" applyAlignment="1">
      <alignment horizontal="center" vertical="center"/>
    </xf>
    <xf numFmtId="0" fontId="18" fillId="0" borderId="18" xfId="0" applyFont="1" applyBorder="1" applyAlignment="1">
      <alignment horizontal="center" vertical="center"/>
    </xf>
    <xf numFmtId="0" fontId="19" fillId="0" borderId="17" xfId="0" applyFont="1" applyBorder="1"/>
    <xf numFmtId="0" fontId="19" fillId="0" borderId="0" xfId="0" applyFont="1"/>
    <xf numFmtId="0" fontId="19" fillId="0" borderId="18" xfId="0" applyFont="1" applyBorder="1"/>
    <xf numFmtId="0" fontId="18" fillId="0" borderId="18" xfId="0" applyFont="1" applyBorder="1"/>
    <xf numFmtId="0" fontId="20" fillId="0" borderId="17" xfId="0" applyFont="1" applyBorder="1"/>
    <xf numFmtId="0" fontId="20" fillId="0" borderId="0" xfId="0" applyFont="1"/>
    <xf numFmtId="0" fontId="20" fillId="0" borderId="18" xfId="0" applyFont="1" applyBorder="1"/>
    <xf numFmtId="0" fontId="21" fillId="0" borderId="0" xfId="0" applyFont="1"/>
    <xf numFmtId="0" fontId="21" fillId="0" borderId="18" xfId="0" applyFont="1" applyBorder="1"/>
    <xf numFmtId="0" fontId="0" fillId="0" borderId="17" xfId="0" applyBorder="1"/>
    <xf numFmtId="0" fontId="20" fillId="0" borderId="19" xfId="0" applyFont="1" applyBorder="1"/>
    <xf numFmtId="0" fontId="18" fillId="0" borderId="1" xfId="0" applyFont="1" applyBorder="1"/>
    <xf numFmtId="0" fontId="18" fillId="0" borderId="1" xfId="0" applyFont="1" applyBorder="1" applyAlignment="1">
      <alignment horizontal="center"/>
    </xf>
    <xf numFmtId="0" fontId="18" fillId="0" borderId="1" xfId="0" applyFont="1" applyBorder="1" applyAlignment="1">
      <alignment horizontal="center" vertical="center"/>
    </xf>
    <xf numFmtId="0" fontId="18" fillId="0" borderId="20" xfId="0" applyFont="1" applyBorder="1" applyAlignment="1">
      <alignment horizontal="center" vertical="center"/>
    </xf>
    <xf numFmtId="0" fontId="0" fillId="0" borderId="0" xfId="0" applyAlignment="1">
      <alignment horizontal="center"/>
    </xf>
    <xf numFmtId="0" fontId="11" fillId="0" borderId="0" xfId="0" applyFont="1" applyAlignment="1">
      <alignment horizontal="center" vertical="center" wrapText="1"/>
    </xf>
    <xf numFmtId="0" fontId="19" fillId="0" borderId="0" xfId="0" applyFont="1" applyAlignment="1">
      <alignment wrapText="1"/>
    </xf>
    <xf numFmtId="0" fontId="19" fillId="0" borderId="0" xfId="0" applyFont="1" applyAlignment="1">
      <alignment vertical="center"/>
    </xf>
    <xf numFmtId="0" fontId="19" fillId="0" borderId="0" xfId="0" applyFont="1" applyAlignment="1">
      <alignment horizontal="center" vertical="center" wrapText="1"/>
    </xf>
    <xf numFmtId="0" fontId="23" fillId="0" borderId="21"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24" xfId="0" applyFont="1" applyBorder="1" applyAlignment="1">
      <alignment horizontal="center" vertical="center" wrapText="1"/>
    </xf>
    <xf numFmtId="0" fontId="24" fillId="0" borderId="21" xfId="0" applyFont="1" applyBorder="1" applyAlignment="1">
      <alignment vertical="center" wrapText="1"/>
    </xf>
    <xf numFmtId="0" fontId="26" fillId="0" borderId="21" xfId="0" applyFont="1" applyBorder="1" applyAlignment="1">
      <alignment vertical="center" wrapText="1"/>
    </xf>
    <xf numFmtId="8" fontId="27" fillId="0" borderId="21" xfId="0" applyNumberFormat="1" applyFont="1" applyBorder="1" applyAlignment="1">
      <alignment vertical="center" wrapText="1"/>
    </xf>
    <xf numFmtId="0" fontId="24" fillId="0" borderId="25" xfId="0" applyFont="1" applyBorder="1" applyAlignment="1">
      <alignment horizontal="center" vertical="center" wrapText="1"/>
    </xf>
    <xf numFmtId="0" fontId="24" fillId="0" borderId="25" xfId="0" applyFont="1" applyBorder="1" applyAlignment="1">
      <alignment vertical="center" wrapText="1"/>
    </xf>
    <xf numFmtId="8" fontId="26" fillId="0" borderId="25" xfId="0" applyNumberFormat="1" applyFont="1" applyBorder="1" applyAlignment="1">
      <alignment vertical="center" wrapText="1"/>
    </xf>
    <xf numFmtId="8" fontId="28" fillId="0" borderId="29" xfId="0" applyNumberFormat="1" applyFont="1" applyBorder="1" applyAlignment="1">
      <alignment vertical="center" wrapText="1"/>
    </xf>
    <xf numFmtId="0" fontId="11" fillId="0" borderId="0" xfId="0" applyFont="1" applyAlignment="1">
      <alignment horizontal="center" wrapText="1"/>
    </xf>
    <xf numFmtId="165" fontId="14" fillId="0" borderId="6" xfId="0" applyNumberFormat="1" applyFont="1" applyBorder="1" applyAlignment="1">
      <alignment horizontal="center" vertical="center" wrapText="1"/>
    </xf>
    <xf numFmtId="1" fontId="15" fillId="0" borderId="6" xfId="0" applyNumberFormat="1" applyFont="1" applyBorder="1" applyAlignment="1">
      <alignment horizontal="center" vertical="center" wrapText="1"/>
    </xf>
    <xf numFmtId="1" fontId="15" fillId="0" borderId="7" xfId="0" applyNumberFormat="1" applyFont="1" applyBorder="1" applyAlignment="1">
      <alignment horizontal="center" vertical="center" wrapText="1"/>
    </xf>
    <xf numFmtId="0" fontId="16" fillId="0" borderId="10" xfId="0" applyFont="1" applyBorder="1" applyAlignment="1">
      <alignment horizontal="center" vertical="center"/>
    </xf>
    <xf numFmtId="0" fontId="16" fillId="0" borderId="11" xfId="0" applyFont="1" applyBorder="1" applyAlignment="1">
      <alignment horizontal="center" vertical="center"/>
    </xf>
    <xf numFmtId="165" fontId="16" fillId="0" borderId="11" xfId="0" applyNumberFormat="1" applyFont="1" applyBorder="1" applyAlignment="1">
      <alignment horizontal="center" vertical="center"/>
    </xf>
    <xf numFmtId="0" fontId="17" fillId="0" borderId="11" xfId="0" applyFont="1" applyBorder="1" applyAlignment="1">
      <alignment horizontal="center" vertical="center"/>
    </xf>
    <xf numFmtId="0" fontId="17" fillId="0" borderId="12"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6"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2" fillId="0" borderId="1" xfId="0" applyFont="1" applyBorder="1" applyAlignment="1">
      <alignment horizontal="center"/>
    </xf>
    <xf numFmtId="0" fontId="22" fillId="0" borderId="21" xfId="0" applyFont="1" applyBorder="1" applyAlignment="1">
      <alignment horizontal="center" vertical="center" wrapText="1"/>
    </xf>
    <xf numFmtId="0" fontId="22" fillId="0" borderId="23"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23" xfId="0"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0" fontId="26" fillId="0" borderId="28" xfId="0" applyFont="1" applyBorder="1" applyAlignment="1">
      <alignment horizontal="center" vertical="center" wrapText="1"/>
    </xf>
    <xf numFmtId="0" fontId="24" fillId="0" borderId="29" xfId="0" applyFont="1" applyBorder="1" applyAlignment="1">
      <alignment vertical="center" wrapText="1"/>
    </xf>
    <xf numFmtId="0" fontId="26" fillId="0" borderId="30"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32" xfId="0" applyFont="1" applyBorder="1" applyAlignment="1">
      <alignment horizontal="center" vertical="center" wrapText="1"/>
    </xf>
    <xf numFmtId="165" fontId="14" fillId="0" borderId="13" xfId="0" applyNumberFormat="1" applyFont="1" applyBorder="1" applyAlignment="1">
      <alignment horizontal="center" vertical="center" wrapText="1"/>
    </xf>
    <xf numFmtId="165" fontId="14" fillId="0" borderId="33" xfId="0" applyNumberFormat="1" applyFont="1" applyBorder="1" applyAlignment="1">
      <alignment horizontal="center" vertical="center" wrapText="1"/>
    </xf>
    <xf numFmtId="1" fontId="15" fillId="0" borderId="13" xfId="0" applyNumberFormat="1" applyFont="1" applyBorder="1" applyAlignment="1">
      <alignment horizontal="center" vertical="center" wrapText="1"/>
    </xf>
    <xf numFmtId="1" fontId="15" fillId="0" borderId="34" xfId="0" applyNumberFormat="1" applyFont="1" applyBorder="1" applyAlignment="1">
      <alignment horizontal="center" vertical="center" wrapText="1"/>
    </xf>
    <xf numFmtId="1" fontId="15" fillId="0" borderId="35"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802637be409e53a/Numan/Grup3YaklasikMaliyet__&#304;lceler_V7__.xlsx" TargetMode="External"/><Relationship Id="rId1" Type="http://schemas.openxmlformats.org/officeDocument/2006/relationships/externalLinkPath" Target="Grup3YaklasikMaliyet__&#304;lceler_V7_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iyet_Hesabi_Parametreler"/>
      <sheetName val="Kalemlerin_Yüzdesel_Oranı"/>
      <sheetName val="BirimFiyatÇizelgesi"/>
      <sheetName val="ÇIKTI"/>
      <sheetName val="İhaleNo_Adet_YM_Birimler"/>
      <sheetName val="O1_O2_O3_O4_Sayılar"/>
      <sheetName val="o5_o6_o7_Sayılar"/>
      <sheetName val="İyilestirme_TUM"/>
      <sheetName val="İyilestirme_Kuzey-1"/>
      <sheetName val="İyilestirme_Güney-2"/>
    </sheetNames>
    <sheetDataSet>
      <sheetData sheetId="0">
        <row r="27">
          <cell r="H27">
            <v>8340</v>
          </cell>
          <cell r="J27">
            <v>8444</v>
          </cell>
          <cell r="L27">
            <v>8392</v>
          </cell>
        </row>
        <row r="28">
          <cell r="H28">
            <v>117071</v>
          </cell>
          <cell r="J28">
            <v>119700</v>
          </cell>
          <cell r="L28">
            <v>121213</v>
          </cell>
        </row>
      </sheetData>
      <sheetData sheetId="1"/>
      <sheetData sheetId="2">
        <row r="10">
          <cell r="F10">
            <v>1763477.127073294</v>
          </cell>
          <cell r="L10">
            <v>1803078.5771939533</v>
          </cell>
          <cell r="P10">
            <v>1825869.36990318</v>
          </cell>
        </row>
        <row r="11">
          <cell r="F11">
            <v>4081239.6801618058</v>
          </cell>
          <cell r="L11">
            <v>4132132.8368448787</v>
          </cell>
          <cell r="P11">
            <v>4106686.258503342</v>
          </cell>
        </row>
        <row r="12">
          <cell r="F12">
            <v>11019347.136436874</v>
          </cell>
          <cell r="L12">
            <v>11156758.659481172</v>
          </cell>
          <cell r="P12">
            <v>11088052.897959024</v>
          </cell>
        </row>
        <row r="13">
          <cell r="F13">
            <v>12243719.040485417</v>
          </cell>
          <cell r="L13">
            <v>12396398.510534637</v>
          </cell>
          <cell r="P13">
            <v>12320058.775510026</v>
          </cell>
        </row>
        <row r="14">
          <cell r="F14">
            <v>11019347.136436874</v>
          </cell>
          <cell r="L14">
            <v>11156758.659481172</v>
          </cell>
          <cell r="P14">
            <v>11088052.897959024</v>
          </cell>
        </row>
        <row r="15">
          <cell r="F15">
            <v>14107817.016586352</v>
          </cell>
          <cell r="L15">
            <v>14424628.617551627</v>
          </cell>
          <cell r="P15">
            <v>14606954.95922544</v>
          </cell>
        </row>
        <row r="16">
          <cell r="F16">
            <v>7053908.5082931761</v>
          </cell>
          <cell r="L16">
            <v>7212314.3087758133</v>
          </cell>
          <cell r="P16">
            <v>7303477.4796127202</v>
          </cell>
        </row>
        <row r="17">
          <cell r="F17">
            <v>12344339.889513059</v>
          </cell>
          <cell r="L17">
            <v>12621550.040357674</v>
          </cell>
          <cell r="P17">
            <v>12781085.589322262</v>
          </cell>
        </row>
        <row r="18">
          <cell r="F18">
            <v>2448743.8080970831</v>
          </cell>
          <cell r="L18">
            <v>2479279.7021069266</v>
          </cell>
          <cell r="P18">
            <v>2464011.7551020049</v>
          </cell>
        </row>
      </sheetData>
      <sheetData sheetId="3">
        <row r="5">
          <cell r="L5">
            <v>91298327.211700723</v>
          </cell>
        </row>
        <row r="6">
          <cell r="L6">
            <v>92859479.894793421</v>
          </cell>
        </row>
        <row r="7">
          <cell r="L7">
            <v>93101099.97971642</v>
          </cell>
        </row>
        <row r="8">
          <cell r="L8">
            <v>277258907.08621055</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8302E-4445-45C6-905E-436938DC1426}">
  <sheetPr>
    <pageSetUpPr fitToPage="1"/>
  </sheetPr>
  <dimension ref="A1:W54"/>
  <sheetViews>
    <sheetView tabSelected="1" zoomScale="55" zoomScaleNormal="55" workbookViewId="0">
      <selection activeCell="A3" sqref="A3:O3"/>
    </sheetView>
  </sheetViews>
  <sheetFormatPr defaultRowHeight="15" x14ac:dyDescent="0.25"/>
  <cols>
    <col min="2" max="2" width="22.7109375" customWidth="1"/>
    <col min="3" max="3" width="73.7109375" customWidth="1"/>
    <col min="4" max="4" width="13.28515625" customWidth="1"/>
    <col min="5" max="5" width="13.28515625" bestFit="1" customWidth="1"/>
    <col min="6" max="6" width="19.85546875" customWidth="1"/>
    <col min="7" max="7" width="36.7109375" customWidth="1"/>
    <col min="8" max="8" width="25.42578125" customWidth="1"/>
    <col min="9" max="9" width="18.140625" customWidth="1"/>
    <col min="10" max="10" width="33.140625" bestFit="1" customWidth="1"/>
    <col min="11" max="11" width="30.85546875" bestFit="1" customWidth="1"/>
    <col min="12" max="12" width="38" customWidth="1"/>
    <col min="15" max="15" width="8.5703125" customWidth="1"/>
    <col min="23" max="23" width="10.5703125" bestFit="1" customWidth="1"/>
  </cols>
  <sheetData>
    <row r="1" spans="1:21" x14ac:dyDescent="0.25">
      <c r="A1" s="79" t="s">
        <v>16</v>
      </c>
      <c r="B1" s="80"/>
      <c r="C1" s="80"/>
      <c r="D1" s="80"/>
      <c r="E1" s="80"/>
      <c r="F1" s="80"/>
      <c r="G1" s="80"/>
      <c r="H1" s="80"/>
      <c r="I1" s="80"/>
      <c r="J1" s="80"/>
      <c r="K1" s="80"/>
      <c r="L1" s="80"/>
      <c r="M1" s="80"/>
      <c r="N1" s="80"/>
      <c r="O1" s="81"/>
    </row>
    <row r="2" spans="1:21" ht="90" customHeight="1" x14ac:dyDescent="0.25">
      <c r="A2" s="82"/>
      <c r="B2" s="83"/>
      <c r="C2" s="83"/>
      <c r="D2" s="83"/>
      <c r="E2" s="83"/>
      <c r="F2" s="83"/>
      <c r="G2" s="83"/>
      <c r="H2" s="83"/>
      <c r="I2" s="83"/>
      <c r="J2" s="83"/>
      <c r="K2" s="83"/>
      <c r="L2" s="83"/>
      <c r="M2" s="83"/>
      <c r="N2" s="83"/>
      <c r="O2" s="84"/>
    </row>
    <row r="3" spans="1:21" ht="107.25" customHeight="1" thickBot="1" x14ac:dyDescent="0.3">
      <c r="A3" s="85" t="s">
        <v>17</v>
      </c>
      <c r="B3" s="86"/>
      <c r="C3" s="86"/>
      <c r="D3" s="86"/>
      <c r="E3" s="86"/>
      <c r="F3" s="86"/>
      <c r="G3" s="86"/>
      <c r="H3" s="86"/>
      <c r="I3" s="86"/>
      <c r="J3" s="86"/>
      <c r="K3" s="86"/>
      <c r="L3" s="86"/>
      <c r="M3" s="86"/>
      <c r="N3" s="86"/>
      <c r="O3" s="87"/>
      <c r="P3" s="20"/>
      <c r="Q3" s="20"/>
      <c r="R3" s="20"/>
      <c r="S3" s="20"/>
      <c r="T3" s="20"/>
      <c r="U3" s="20"/>
    </row>
    <row r="4" spans="1:21" ht="108" x14ac:dyDescent="0.25">
      <c r="A4" s="21" t="s">
        <v>18</v>
      </c>
      <c r="B4" s="22" t="s">
        <v>19</v>
      </c>
      <c r="C4" s="23" t="s">
        <v>20</v>
      </c>
      <c r="D4" s="22" t="s">
        <v>21</v>
      </c>
      <c r="E4" s="22" t="s">
        <v>22</v>
      </c>
      <c r="F4" s="22" t="s">
        <v>23</v>
      </c>
      <c r="G4" s="22" t="s">
        <v>24</v>
      </c>
      <c r="H4" s="88" t="s">
        <v>25</v>
      </c>
      <c r="I4" s="88"/>
      <c r="J4" s="22" t="s">
        <v>26</v>
      </c>
      <c r="K4" s="22" t="s">
        <v>27</v>
      </c>
      <c r="L4" s="22" t="s">
        <v>28</v>
      </c>
      <c r="M4" s="88" t="s">
        <v>29</v>
      </c>
      <c r="N4" s="88"/>
      <c r="O4" s="89"/>
      <c r="P4" s="20"/>
      <c r="Q4" s="20"/>
      <c r="R4" s="20"/>
      <c r="S4" s="20"/>
      <c r="T4" s="20"/>
      <c r="U4" s="20"/>
    </row>
    <row r="5" spans="1:21" ht="300" x14ac:dyDescent="0.25">
      <c r="A5" s="24">
        <v>1</v>
      </c>
      <c r="B5" s="24" t="s">
        <v>30</v>
      </c>
      <c r="C5" s="25" t="s">
        <v>31</v>
      </c>
      <c r="D5" s="26">
        <f>[1]Maliyet_Hesabi_Parametreler!H27</f>
        <v>8340</v>
      </c>
      <c r="E5" s="27">
        <f>D5*0.38</f>
        <v>3169.2</v>
      </c>
      <c r="F5" s="27">
        <f>[1]Maliyet_Hesabi_Parametreler!H28</f>
        <v>117071</v>
      </c>
      <c r="G5" s="28">
        <f>[1]BirimFiyatÇizelgesi!F11+[1]BirimFiyatÇizelgesi!F12+[1]BirimFiyatÇizelgesi!F13+[1]BirimFiyatÇizelgesi!F14+[1]BirimFiyatÇizelgesi!F18</f>
        <v>40812396.801618055</v>
      </c>
      <c r="H5" s="71">
        <f>[1]BirimFiyatÇizelgesi!F10+[1]BirimFiyatÇizelgesi!F16+[1]BirimFiyatÇizelgesi!F15+[1]BirimFiyatÇizelgesi!F17</f>
        <v>35269542.541465878</v>
      </c>
      <c r="I5" s="71"/>
      <c r="J5" s="28">
        <f>SUM(G5:I5)</f>
        <v>76081939.343083933</v>
      </c>
      <c r="K5" s="28">
        <f>J5*0.2</f>
        <v>15216387.868616788</v>
      </c>
      <c r="L5" s="28">
        <f>J5+K5</f>
        <v>91298327.211700723</v>
      </c>
      <c r="M5" s="72"/>
      <c r="N5" s="72"/>
      <c r="O5" s="73"/>
    </row>
    <row r="6" spans="1:21" ht="318.75" x14ac:dyDescent="0.25">
      <c r="A6" s="24">
        <v>2</v>
      </c>
      <c r="B6" s="24" t="s">
        <v>32</v>
      </c>
      <c r="C6" s="29" t="s">
        <v>33</v>
      </c>
      <c r="D6" s="26">
        <f>[1]Maliyet_Hesabi_Parametreler!J27</f>
        <v>8444</v>
      </c>
      <c r="E6" s="27">
        <f>D6*0.38</f>
        <v>3208.7200000000003</v>
      </c>
      <c r="F6" s="27">
        <f>[1]Maliyet_Hesabi_Parametreler!J28</f>
        <v>119700</v>
      </c>
      <c r="G6" s="28">
        <f>[1]BirimFiyatÇizelgesi!L11+[1]BirimFiyatÇizelgesi!L12+[1]BirimFiyatÇizelgesi!L13+[1]BirimFiyatÇizelgesi!L14+[1]BirimFiyatÇizelgesi!L18</f>
        <v>41321328.368448779</v>
      </c>
      <c r="H6" s="71">
        <f>[1]BirimFiyatÇizelgesi!L10+[1]BirimFiyatÇizelgesi!L15+[1]BirimFiyatÇizelgesi!L16+[1]BirimFiyatÇizelgesi!L17</f>
        <v>36061571.543879069</v>
      </c>
      <c r="I6" s="71"/>
      <c r="J6" s="28">
        <f>SUM(G6:I6)</f>
        <v>77382899.912327856</v>
      </c>
      <c r="K6" s="28">
        <f t="shared" ref="K6:K9" si="0">J6*0.2</f>
        <v>15476579.982465573</v>
      </c>
      <c r="L6" s="28">
        <f t="shared" ref="L6:L9" si="1">J6+K6</f>
        <v>92859479.894793421</v>
      </c>
      <c r="M6" s="72"/>
      <c r="N6" s="72"/>
      <c r="O6" s="73"/>
    </row>
    <row r="7" spans="1:21" ht="288" customHeight="1" x14ac:dyDescent="0.25">
      <c r="A7" s="24"/>
      <c r="B7" s="24"/>
      <c r="C7" s="29"/>
      <c r="D7" s="31"/>
      <c r="E7" s="27"/>
      <c r="F7" s="32"/>
      <c r="G7" s="28"/>
      <c r="H7" s="102"/>
      <c r="I7" s="103"/>
      <c r="J7" s="28"/>
      <c r="K7" s="28"/>
      <c r="L7" s="28"/>
      <c r="M7" s="104"/>
      <c r="N7" s="105"/>
      <c r="O7" s="106"/>
    </row>
    <row r="8" spans="1:21" ht="288" customHeight="1" x14ac:dyDescent="0.25">
      <c r="A8" s="24"/>
      <c r="B8" s="24"/>
      <c r="C8" s="29"/>
      <c r="D8" s="31"/>
      <c r="E8" s="27"/>
      <c r="F8" s="32"/>
      <c r="G8" s="28"/>
      <c r="H8" s="102"/>
      <c r="I8" s="103"/>
      <c r="J8" s="28"/>
      <c r="K8" s="28"/>
      <c r="L8" s="28"/>
      <c r="M8" s="104"/>
      <c r="N8" s="105"/>
      <c r="O8" s="106"/>
    </row>
    <row r="9" spans="1:21" ht="234.75" customHeight="1" x14ac:dyDescent="0.25">
      <c r="A9" s="24">
        <v>3</v>
      </c>
      <c r="B9" s="24" t="s">
        <v>34</v>
      </c>
      <c r="C9" s="30" t="s">
        <v>35</v>
      </c>
      <c r="D9" s="31">
        <f>[1]Maliyet_Hesabi_Parametreler!L27</f>
        <v>8392</v>
      </c>
      <c r="E9" s="27">
        <f>D9*0.38</f>
        <v>3188.96</v>
      </c>
      <c r="F9" s="32">
        <f>[1]Maliyet_Hesabi_Parametreler!L28</f>
        <v>121213</v>
      </c>
      <c r="G9" s="28">
        <f>[1]BirimFiyatÇizelgesi!P11+[1]BirimFiyatÇizelgesi!P12+[1]BirimFiyatÇizelgesi!P13+[1]BirimFiyatÇizelgesi!P14+[1]BirimFiyatÇizelgesi!P18</f>
        <v>41066862.585033417</v>
      </c>
      <c r="H9" s="71">
        <f>[1]BirimFiyatÇizelgesi!P10+[1]BirimFiyatÇizelgesi!P15+[1]BirimFiyatÇizelgesi!P16+[1]BirimFiyatÇizelgesi!P17</f>
        <v>36517387.3980636</v>
      </c>
      <c r="I9" s="71"/>
      <c r="J9" s="28">
        <f>SUM(G9:I9)</f>
        <v>77584249.983097017</v>
      </c>
      <c r="K9" s="28">
        <f t="shared" si="0"/>
        <v>15516849.996619403</v>
      </c>
      <c r="L9" s="28">
        <f t="shared" si="1"/>
        <v>93101099.97971642</v>
      </c>
      <c r="M9" s="72"/>
      <c r="N9" s="72"/>
      <c r="O9" s="73"/>
    </row>
    <row r="10" spans="1:21" ht="33" customHeight="1" thickBot="1" x14ac:dyDescent="0.3">
      <c r="A10" s="74" t="s">
        <v>36</v>
      </c>
      <c r="B10" s="75"/>
      <c r="C10" s="75"/>
      <c r="D10" s="33">
        <f>SUM(D5:D9)</f>
        <v>25176</v>
      </c>
      <c r="E10" s="33">
        <f>SUM(E5:E9)</f>
        <v>9566.880000000001</v>
      </c>
      <c r="F10" s="33">
        <f>SUM(F5:F9)</f>
        <v>357984</v>
      </c>
      <c r="G10" s="34">
        <f>SUM(G5:G9)</f>
        <v>123200587.75510025</v>
      </c>
      <c r="H10" s="76">
        <f>SUM(H5:H9)</f>
        <v>107848501.48340854</v>
      </c>
      <c r="I10" s="76"/>
      <c r="J10" s="34">
        <f>SUM(J5:J9)</f>
        <v>231049089.23850882</v>
      </c>
      <c r="K10" s="34">
        <f>SUM(K5:K9)</f>
        <v>46209817.847701766</v>
      </c>
      <c r="L10" s="34">
        <f>SUM(L5:L9)</f>
        <v>277258907.08621055</v>
      </c>
      <c r="M10" s="77"/>
      <c r="N10" s="77"/>
      <c r="O10" s="78"/>
    </row>
    <row r="11" spans="1:21" ht="15.75" x14ac:dyDescent="0.25">
      <c r="A11" s="35"/>
      <c r="B11" s="36"/>
      <c r="C11" s="37"/>
      <c r="D11" s="36"/>
      <c r="E11" s="36"/>
      <c r="F11" s="36"/>
      <c r="G11" s="36"/>
      <c r="H11" s="36"/>
      <c r="I11" s="36"/>
      <c r="J11" s="36"/>
      <c r="K11" s="36"/>
      <c r="L11" s="36"/>
      <c r="M11" s="38"/>
      <c r="N11" s="38"/>
      <c r="O11" s="39"/>
    </row>
    <row r="12" spans="1:21" ht="15.75" x14ac:dyDescent="0.25">
      <c r="A12" s="35"/>
      <c r="B12" s="36"/>
      <c r="C12" s="37"/>
      <c r="D12" s="36"/>
      <c r="E12" s="36"/>
      <c r="F12" s="36"/>
      <c r="G12" s="36"/>
      <c r="H12" s="36"/>
      <c r="I12" s="36"/>
      <c r="J12" s="36"/>
      <c r="K12" s="36"/>
      <c r="L12" s="36"/>
      <c r="M12" s="38"/>
      <c r="N12" s="38"/>
      <c r="O12" s="39"/>
    </row>
    <row r="13" spans="1:21" s="41" customFormat="1" ht="24" x14ac:dyDescent="0.4">
      <c r="A13" s="40" t="s">
        <v>37</v>
      </c>
      <c r="O13" s="42"/>
    </row>
    <row r="14" spans="1:21" ht="15.75" x14ac:dyDescent="0.25">
      <c r="A14" s="35"/>
      <c r="B14" s="36"/>
      <c r="C14" s="36"/>
      <c r="D14" s="36"/>
      <c r="E14" s="36"/>
      <c r="F14" s="36"/>
      <c r="G14" s="36"/>
      <c r="H14" s="36"/>
      <c r="I14" s="36"/>
      <c r="J14" s="36"/>
      <c r="K14" s="36"/>
      <c r="L14" s="36"/>
      <c r="M14" s="36"/>
      <c r="N14" s="36"/>
      <c r="O14" s="43"/>
    </row>
    <row r="15" spans="1:21" s="45" customFormat="1" ht="21" x14ac:dyDescent="0.35">
      <c r="A15" s="44" t="s">
        <v>38</v>
      </c>
      <c r="O15" s="46"/>
    </row>
    <row r="16" spans="1:21" ht="15.75" x14ac:dyDescent="0.25">
      <c r="A16" s="35"/>
      <c r="B16" s="36"/>
      <c r="C16" s="36"/>
      <c r="D16" s="36"/>
      <c r="E16" s="36"/>
      <c r="F16" s="36"/>
      <c r="G16" s="36"/>
      <c r="H16" s="36"/>
      <c r="I16" s="36"/>
      <c r="J16" s="36"/>
      <c r="K16" s="36"/>
      <c r="L16" s="36"/>
      <c r="M16" s="36"/>
      <c r="N16" s="36"/>
      <c r="O16" s="43"/>
    </row>
    <row r="17" spans="1:23" s="45" customFormat="1" ht="21" x14ac:dyDescent="0.35">
      <c r="A17" s="44" t="s">
        <v>39</v>
      </c>
      <c r="O17" s="46"/>
    </row>
    <row r="18" spans="1:23" ht="15.75" x14ac:dyDescent="0.25">
      <c r="A18" s="35"/>
      <c r="B18" s="36"/>
      <c r="C18" s="36"/>
      <c r="D18" s="36"/>
      <c r="E18" s="36"/>
      <c r="F18" s="36"/>
      <c r="G18" s="36"/>
      <c r="H18" s="36"/>
      <c r="I18" s="36"/>
      <c r="J18" s="36"/>
      <c r="K18" s="36"/>
      <c r="L18" s="36"/>
      <c r="M18" s="36"/>
      <c r="N18" s="36"/>
      <c r="O18" s="43"/>
    </row>
    <row r="19" spans="1:23" s="45" customFormat="1" ht="21" x14ac:dyDescent="0.35">
      <c r="A19" s="44" t="s">
        <v>40</v>
      </c>
      <c r="O19" s="46"/>
    </row>
    <row r="20" spans="1:23" ht="15.75" x14ac:dyDescent="0.25">
      <c r="A20" s="35"/>
      <c r="B20" s="36"/>
      <c r="C20" s="37"/>
      <c r="D20" s="36"/>
      <c r="E20" s="36"/>
      <c r="F20" s="36"/>
      <c r="G20" s="36"/>
      <c r="H20" s="36"/>
      <c r="I20" s="36"/>
      <c r="J20" s="36"/>
      <c r="K20" s="36"/>
      <c r="L20" s="36"/>
      <c r="M20" s="38"/>
      <c r="N20" s="38"/>
      <c r="O20" s="39"/>
    </row>
    <row r="21" spans="1:23" ht="21" x14ac:dyDescent="0.35">
      <c r="A21" s="44" t="s">
        <v>41</v>
      </c>
      <c r="B21" s="47"/>
      <c r="C21" s="47"/>
      <c r="D21" s="47"/>
      <c r="E21" s="47"/>
      <c r="F21" s="47"/>
      <c r="G21" s="47"/>
      <c r="H21" s="47"/>
      <c r="I21" s="47"/>
      <c r="J21" s="47"/>
      <c r="K21" s="47"/>
      <c r="L21" s="47"/>
      <c r="M21" s="47"/>
      <c r="N21" s="47"/>
      <c r="O21" s="48"/>
      <c r="P21" s="47"/>
      <c r="Q21" s="47"/>
      <c r="W21">
        <v>288</v>
      </c>
    </row>
    <row r="22" spans="1:23" ht="15.75" x14ac:dyDescent="0.25">
      <c r="A22" s="35"/>
      <c r="B22" s="36"/>
      <c r="C22" s="37"/>
      <c r="D22" s="36"/>
      <c r="E22" s="36"/>
      <c r="F22" s="36"/>
      <c r="G22" s="36"/>
      <c r="H22" s="36"/>
      <c r="I22" s="36"/>
      <c r="J22" s="36"/>
      <c r="K22" s="36"/>
      <c r="L22" s="36"/>
      <c r="M22" s="38"/>
      <c r="N22" s="38"/>
      <c r="O22" s="39"/>
      <c r="W22">
        <v>235000000</v>
      </c>
    </row>
    <row r="23" spans="1:23" ht="21" x14ac:dyDescent="0.35">
      <c r="A23" s="44" t="s">
        <v>42</v>
      </c>
      <c r="O23" s="48"/>
    </row>
    <row r="24" spans="1:23" ht="15.75" x14ac:dyDescent="0.25">
      <c r="A24" s="49"/>
      <c r="O24" s="39"/>
    </row>
    <row r="25" spans="1:23" ht="21.75" thickBot="1" x14ac:dyDescent="0.4">
      <c r="A25" s="50" t="s">
        <v>43</v>
      </c>
      <c r="B25" s="51"/>
      <c r="C25" s="52"/>
      <c r="D25" s="51"/>
      <c r="E25" s="51"/>
      <c r="F25" s="51"/>
      <c r="G25" s="51"/>
      <c r="H25" s="51"/>
      <c r="I25" s="51"/>
      <c r="J25" s="51"/>
      <c r="K25" s="51"/>
      <c r="L25" s="51"/>
      <c r="M25" s="53"/>
      <c r="N25" s="53"/>
      <c r="O25" s="54"/>
    </row>
    <row r="26" spans="1:23" x14ac:dyDescent="0.25">
      <c r="C26" s="55"/>
      <c r="M26" s="20"/>
      <c r="N26" s="20"/>
      <c r="O26" s="20"/>
    </row>
    <row r="27" spans="1:23" x14ac:dyDescent="0.25">
      <c r="C27" s="55"/>
      <c r="M27" s="20"/>
      <c r="N27" s="20"/>
      <c r="O27" s="20"/>
    </row>
    <row r="28" spans="1:23" ht="23.25" customHeight="1" x14ac:dyDescent="0.4">
      <c r="C28" s="56" t="s">
        <v>44</v>
      </c>
      <c r="D28" s="57"/>
      <c r="E28" s="57"/>
      <c r="F28" s="57"/>
      <c r="G28" s="57"/>
      <c r="H28" s="70" t="s">
        <v>45</v>
      </c>
      <c r="I28" s="70"/>
      <c r="J28" s="56" t="s">
        <v>46</v>
      </c>
      <c r="K28" s="56" t="s">
        <v>47</v>
      </c>
      <c r="L28" s="56" t="s">
        <v>48</v>
      </c>
      <c r="M28" s="20"/>
      <c r="N28" s="20"/>
      <c r="O28" s="20"/>
    </row>
    <row r="29" spans="1:23" ht="26.25" x14ac:dyDescent="0.4">
      <c r="C29" s="56" t="s">
        <v>49</v>
      </c>
      <c r="D29" s="57"/>
      <c r="E29" s="57"/>
      <c r="F29" s="57"/>
      <c r="G29" s="57"/>
      <c r="H29" s="70" t="s">
        <v>50</v>
      </c>
      <c r="I29" s="70"/>
      <c r="J29" s="56" t="s">
        <v>50</v>
      </c>
      <c r="K29" s="56" t="s">
        <v>51</v>
      </c>
      <c r="L29" s="56" t="s">
        <v>50</v>
      </c>
      <c r="M29" s="20"/>
      <c r="N29" s="20"/>
      <c r="O29" s="20"/>
    </row>
    <row r="30" spans="1:23" ht="15" customHeight="1" x14ac:dyDescent="0.4">
      <c r="C30" s="58"/>
      <c r="D30" s="57"/>
      <c r="E30" s="57"/>
      <c r="F30" s="57"/>
      <c r="G30" s="57"/>
      <c r="H30" s="57"/>
      <c r="M30" s="20"/>
      <c r="N30" s="20"/>
      <c r="O30" s="20"/>
    </row>
    <row r="31" spans="1:23" ht="15" customHeight="1" x14ac:dyDescent="0.25">
      <c r="C31" s="55"/>
      <c r="M31" s="20"/>
      <c r="N31" s="20"/>
      <c r="O31" s="20"/>
    </row>
    <row r="32" spans="1:23" x14ac:dyDescent="0.25">
      <c r="C32" s="55"/>
      <c r="M32" s="20"/>
      <c r="N32" s="20"/>
      <c r="O32" s="20"/>
    </row>
    <row r="33" spans="3:15" x14ac:dyDescent="0.25">
      <c r="C33" s="55"/>
      <c r="M33" s="20"/>
      <c r="N33" s="20"/>
      <c r="O33" s="20"/>
    </row>
    <row r="34" spans="3:15" x14ac:dyDescent="0.25">
      <c r="C34" s="55"/>
      <c r="M34" s="20"/>
      <c r="N34" s="20"/>
      <c r="O34" s="20"/>
    </row>
    <row r="35" spans="3:15" ht="24" x14ac:dyDescent="0.25">
      <c r="C35" s="55"/>
      <c r="J35" s="59"/>
      <c r="M35" s="20"/>
      <c r="N35" s="20"/>
      <c r="O35" s="20"/>
    </row>
    <row r="36" spans="3:15" ht="24" x14ac:dyDescent="0.25">
      <c r="C36" s="55"/>
      <c r="J36" s="59"/>
      <c r="M36" s="20"/>
      <c r="N36" s="20"/>
      <c r="O36" s="20"/>
    </row>
    <row r="37" spans="3:15" x14ac:dyDescent="0.25">
      <c r="C37" s="55"/>
      <c r="M37" s="20"/>
      <c r="N37" s="20"/>
      <c r="O37" s="20"/>
    </row>
    <row r="38" spans="3:15" x14ac:dyDescent="0.25">
      <c r="C38" s="55"/>
      <c r="M38" s="20"/>
      <c r="N38" s="20"/>
      <c r="O38" s="20"/>
    </row>
    <row r="39" spans="3:15" x14ac:dyDescent="0.25">
      <c r="C39" s="55"/>
      <c r="M39" s="20"/>
      <c r="N39" s="20"/>
      <c r="O39" s="20"/>
    </row>
    <row r="40" spans="3:15" x14ac:dyDescent="0.25">
      <c r="C40" s="55"/>
      <c r="M40" s="20"/>
      <c r="N40" s="20"/>
      <c r="O40" s="20"/>
    </row>
    <row r="41" spans="3:15" x14ac:dyDescent="0.25">
      <c r="C41" s="55"/>
      <c r="M41" s="20"/>
      <c r="N41" s="20"/>
      <c r="O41" s="20"/>
    </row>
    <row r="42" spans="3:15" x14ac:dyDescent="0.25">
      <c r="C42" s="55"/>
      <c r="M42" s="20"/>
      <c r="N42" s="20"/>
      <c r="O42" s="20"/>
    </row>
    <row r="43" spans="3:15" x14ac:dyDescent="0.25">
      <c r="C43" s="55"/>
      <c r="M43" s="20"/>
      <c r="N43" s="20"/>
      <c r="O43" s="20"/>
    </row>
    <row r="44" spans="3:15" x14ac:dyDescent="0.25">
      <c r="C44" s="55"/>
      <c r="M44" s="20"/>
      <c r="N44" s="20"/>
      <c r="O44" s="20"/>
    </row>
    <row r="45" spans="3:15" x14ac:dyDescent="0.25">
      <c r="C45" s="55"/>
      <c r="M45" s="20"/>
      <c r="N45" s="20"/>
      <c r="O45" s="20"/>
    </row>
    <row r="46" spans="3:15" x14ac:dyDescent="0.25">
      <c r="C46" s="55"/>
      <c r="M46" s="20"/>
      <c r="N46" s="20"/>
      <c r="O46" s="20"/>
    </row>
    <row r="47" spans="3:15" x14ac:dyDescent="0.25">
      <c r="C47" s="55"/>
      <c r="M47" s="20"/>
      <c r="N47" s="20"/>
      <c r="O47" s="20"/>
    </row>
    <row r="48" spans="3:15" x14ac:dyDescent="0.25">
      <c r="C48" s="55"/>
      <c r="M48" s="20"/>
      <c r="N48" s="20"/>
      <c r="O48" s="20"/>
    </row>
    <row r="49" spans="3:15" x14ac:dyDescent="0.25">
      <c r="C49" s="55"/>
      <c r="M49" s="20"/>
      <c r="N49" s="20"/>
      <c r="O49" s="20"/>
    </row>
    <row r="50" spans="3:15" x14ac:dyDescent="0.25">
      <c r="C50" s="55"/>
      <c r="M50" s="20"/>
      <c r="N50" s="20"/>
      <c r="O50" s="20"/>
    </row>
    <row r="51" spans="3:15" x14ac:dyDescent="0.25">
      <c r="C51" s="55"/>
      <c r="M51" s="20"/>
      <c r="N51" s="20"/>
      <c r="O51" s="20"/>
    </row>
    <row r="52" spans="3:15" x14ac:dyDescent="0.25">
      <c r="C52" s="55"/>
      <c r="M52" s="20"/>
      <c r="N52" s="20"/>
      <c r="O52" s="20"/>
    </row>
    <row r="53" spans="3:15" x14ac:dyDescent="0.25">
      <c r="C53" s="55"/>
      <c r="M53" s="20"/>
      <c r="N53" s="20"/>
      <c r="O53" s="20"/>
    </row>
    <row r="54" spans="3:15" x14ac:dyDescent="0.25">
      <c r="C54" s="55"/>
      <c r="M54" s="20"/>
      <c r="N54" s="20"/>
      <c r="O54" s="20"/>
    </row>
  </sheetData>
  <mergeCells count="19">
    <mergeCell ref="A10:C10"/>
    <mergeCell ref="H10:I10"/>
    <mergeCell ref="M10:O10"/>
    <mergeCell ref="A1:O2"/>
    <mergeCell ref="A3:O3"/>
    <mergeCell ref="H4:I4"/>
    <mergeCell ref="M4:O4"/>
    <mergeCell ref="H5:I5"/>
    <mergeCell ref="M5:O5"/>
    <mergeCell ref="H7:I7"/>
    <mergeCell ref="H8:I8"/>
    <mergeCell ref="M7:O7"/>
    <mergeCell ref="M8:O8"/>
    <mergeCell ref="H28:I28"/>
    <mergeCell ref="H29:I29"/>
    <mergeCell ref="H6:I6"/>
    <mergeCell ref="M6:O6"/>
    <mergeCell ref="H9:I9"/>
    <mergeCell ref="M9:O9"/>
  </mergeCells>
  <pageMargins left="0.70866141732283472" right="0.70866141732283472" top="0.74803149606299213" bottom="0.74803149606299213" header="0.31496062992125984" footer="0.31496062992125984"/>
  <pageSetup paperSize="9" scale="3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6E37-2E11-4AF7-BAD3-FA7FB729C4C0}">
  <dimension ref="D2:M9"/>
  <sheetViews>
    <sheetView workbookViewId="0">
      <selection activeCell="H4" sqref="H4"/>
    </sheetView>
  </sheetViews>
  <sheetFormatPr defaultRowHeight="15" x14ac:dyDescent="0.25"/>
  <cols>
    <col min="4" max="4" width="12.85546875" customWidth="1"/>
    <col min="5" max="5" width="15.28515625" customWidth="1"/>
    <col min="6" max="6" width="17.5703125" customWidth="1"/>
    <col min="7" max="8" width="22.28515625" customWidth="1"/>
    <col min="9" max="9" width="105.28515625" customWidth="1"/>
    <col min="13" max="13" width="13.85546875" customWidth="1"/>
    <col min="16" max="16" width="14.42578125" bestFit="1" customWidth="1"/>
  </cols>
  <sheetData>
    <row r="2" spans="4:13" ht="21.75" thickBot="1" x14ac:dyDescent="0.4">
      <c r="D2" s="90" t="s">
        <v>0</v>
      </c>
      <c r="E2" s="90"/>
      <c r="F2" s="90"/>
      <c r="G2" s="90"/>
      <c r="H2" s="90"/>
      <c r="I2" s="90"/>
    </row>
    <row r="3" spans="4:13" ht="31.5" x14ac:dyDescent="0.25">
      <c r="D3" s="1" t="s">
        <v>1</v>
      </c>
      <c r="E3" s="2" t="s">
        <v>2</v>
      </c>
      <c r="F3" s="2" t="s">
        <v>3</v>
      </c>
      <c r="G3" s="2" t="s">
        <v>4</v>
      </c>
      <c r="H3" s="2" t="s">
        <v>13</v>
      </c>
      <c r="I3" s="3" t="s">
        <v>5</v>
      </c>
    </row>
    <row r="4" spans="4:13" ht="120" x14ac:dyDescent="0.25">
      <c r="D4" s="4" t="s">
        <v>6</v>
      </c>
      <c r="E4" s="5">
        <f>[1]Maliyet_Hesabi_Parametreler!H27</f>
        <v>8340</v>
      </c>
      <c r="F4" s="5">
        <f>[1]Maliyet_Hesabi_Parametreler!H28</f>
        <v>117071</v>
      </c>
      <c r="G4" s="6">
        <f>[1]ÇIKTI!L5</f>
        <v>91298327.211700723</v>
      </c>
      <c r="H4" s="17"/>
      <c r="I4" s="7" t="s">
        <v>7</v>
      </c>
      <c r="M4" s="8"/>
    </row>
    <row r="5" spans="4:13" ht="135" x14ac:dyDescent="0.25">
      <c r="D5" s="4" t="s">
        <v>8</v>
      </c>
      <c r="E5" s="5">
        <f>[1]Maliyet_Hesabi_Parametreler!J27</f>
        <v>8444</v>
      </c>
      <c r="F5" s="5">
        <f>[1]Maliyet_Hesabi_Parametreler!J28</f>
        <v>119700</v>
      </c>
      <c r="G5" s="6">
        <f>[1]ÇIKTI!L6</f>
        <v>92859479.894793421</v>
      </c>
      <c r="H5" s="17"/>
      <c r="I5" s="7" t="s">
        <v>9</v>
      </c>
      <c r="M5" s="8"/>
    </row>
    <row r="6" spans="4:13" ht="105" x14ac:dyDescent="0.25">
      <c r="D6" s="9" t="s">
        <v>10</v>
      </c>
      <c r="E6" s="10">
        <f>[1]Maliyet_Hesabi_Parametreler!L27</f>
        <v>8392</v>
      </c>
      <c r="F6" s="10">
        <f>[1]Maliyet_Hesabi_Parametreler!L28</f>
        <v>121213</v>
      </c>
      <c r="G6" s="11">
        <f>[1]ÇIKTI!L7</f>
        <v>93101099.97971642</v>
      </c>
      <c r="H6" s="18"/>
      <c r="I6" s="7" t="s">
        <v>11</v>
      </c>
      <c r="M6" s="12"/>
    </row>
    <row r="7" spans="4:13" ht="105" x14ac:dyDescent="0.25">
      <c r="D7" s="9" t="s">
        <v>14</v>
      </c>
      <c r="E7" s="10">
        <v>0</v>
      </c>
      <c r="F7" s="10">
        <v>0</v>
      </c>
      <c r="G7" s="11">
        <f>[1]ÇIKTI!L7</f>
        <v>93101099.97971642</v>
      </c>
      <c r="H7" s="18"/>
      <c r="I7" s="7" t="s">
        <v>11</v>
      </c>
      <c r="M7" s="12"/>
    </row>
    <row r="8" spans="4:13" ht="105" x14ac:dyDescent="0.25">
      <c r="D8" s="9" t="s">
        <v>15</v>
      </c>
      <c r="E8" s="10">
        <v>0</v>
      </c>
      <c r="F8" s="10">
        <f>[1]Maliyet_Hesabi_Parametreler!L29</f>
        <v>0</v>
      </c>
      <c r="G8" s="11">
        <f>[1]ÇIKTI!L8</f>
        <v>277258907.08621055</v>
      </c>
      <c r="H8" s="18"/>
      <c r="I8" s="7" t="s">
        <v>11</v>
      </c>
      <c r="M8" s="12"/>
    </row>
    <row r="9" spans="4:13" ht="16.5" thickBot="1" x14ac:dyDescent="0.3">
      <c r="D9" s="13" t="s">
        <v>12</v>
      </c>
      <c r="E9" s="14">
        <f>SUM(E4:E8)</f>
        <v>25176</v>
      </c>
      <c r="F9" s="14">
        <f>SUM(F4:F8)</f>
        <v>357984</v>
      </c>
      <c r="G9" s="15">
        <f>SUM(G4:G8)</f>
        <v>647618914.15213752</v>
      </c>
      <c r="H9" s="19">
        <f>SUM(H4:H6)</f>
        <v>0</v>
      </c>
      <c r="I9" s="16"/>
    </row>
  </sheetData>
  <mergeCells count="1">
    <mergeCell ref="D2:I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8080-6A2D-4222-8848-937575E1A5F3}">
  <sheetPr>
    <pageSetUpPr fitToPage="1"/>
  </sheetPr>
  <dimension ref="A1:F13"/>
  <sheetViews>
    <sheetView workbookViewId="0">
      <selection activeCell="I16" sqref="I16:I17"/>
    </sheetView>
  </sheetViews>
  <sheetFormatPr defaultRowHeight="15" x14ac:dyDescent="0.25"/>
  <cols>
    <col min="1" max="1" width="10" customWidth="1"/>
    <col min="2" max="2" width="76.140625" customWidth="1"/>
    <col min="3" max="3" width="11.140625" customWidth="1"/>
    <col min="4" max="4" width="13" customWidth="1"/>
    <col min="5" max="5" width="13.28515625" customWidth="1"/>
    <col min="6" max="6" width="17.28515625" customWidth="1"/>
    <col min="9" max="9" width="19.85546875" customWidth="1"/>
  </cols>
  <sheetData>
    <row r="1" spans="1:6" ht="60.75" customHeight="1" x14ac:dyDescent="0.25">
      <c r="A1" s="91" t="s">
        <v>52</v>
      </c>
      <c r="B1" s="91" t="s">
        <v>53</v>
      </c>
      <c r="C1" s="93" t="s">
        <v>54</v>
      </c>
      <c r="D1" s="61" t="s">
        <v>55</v>
      </c>
      <c r="E1" s="61" t="s">
        <v>56</v>
      </c>
      <c r="F1" s="61" t="s">
        <v>57</v>
      </c>
    </row>
    <row r="2" spans="1:6" ht="15.75" thickBot="1" x14ac:dyDescent="0.3">
      <c r="A2" s="92"/>
      <c r="B2" s="92"/>
      <c r="C2" s="94"/>
      <c r="D2" s="62" t="s">
        <v>58</v>
      </c>
      <c r="E2" s="62" t="s">
        <v>59</v>
      </c>
      <c r="F2" s="62" t="s">
        <v>60</v>
      </c>
    </row>
    <row r="3" spans="1:6" ht="15.75" thickBot="1" x14ac:dyDescent="0.3">
      <c r="A3" s="60">
        <v>1</v>
      </c>
      <c r="B3" s="63" t="s">
        <v>76</v>
      </c>
      <c r="C3" s="64" t="s">
        <v>62</v>
      </c>
      <c r="D3" s="60"/>
      <c r="E3" s="65"/>
      <c r="F3" s="65"/>
    </row>
    <row r="4" spans="1:6" ht="15.75" thickBot="1" x14ac:dyDescent="0.3">
      <c r="A4" s="60">
        <v>2</v>
      </c>
      <c r="B4" s="63" t="s">
        <v>77</v>
      </c>
      <c r="C4" s="64" t="s">
        <v>64</v>
      </c>
      <c r="D4" s="60"/>
      <c r="E4" s="65"/>
      <c r="F4" s="65"/>
    </row>
    <row r="5" spans="1:6" ht="26.25" thickBot="1" x14ac:dyDescent="0.3">
      <c r="A5" s="60">
        <v>3</v>
      </c>
      <c r="B5" s="63" t="s">
        <v>78</v>
      </c>
      <c r="C5" s="64" t="s">
        <v>64</v>
      </c>
      <c r="D5" s="60"/>
      <c r="E5" s="65"/>
      <c r="F5" s="65"/>
    </row>
    <row r="6" spans="1:6" ht="15.75" thickBot="1" x14ac:dyDescent="0.3">
      <c r="A6" s="60">
        <v>4</v>
      </c>
      <c r="B6" s="63" t="s">
        <v>79</v>
      </c>
      <c r="C6" s="64" t="s">
        <v>64</v>
      </c>
      <c r="D6" s="60"/>
      <c r="E6" s="65"/>
      <c r="F6" s="65"/>
    </row>
    <row r="7" spans="1:6" ht="39" thickBot="1" x14ac:dyDescent="0.3">
      <c r="A7" s="60">
        <v>5</v>
      </c>
      <c r="B7" s="63" t="s">
        <v>80</v>
      </c>
      <c r="C7" s="64" t="s">
        <v>64</v>
      </c>
      <c r="D7" s="60"/>
      <c r="E7" s="65"/>
      <c r="F7" s="65"/>
    </row>
    <row r="8" spans="1:6" ht="26.25" thickBot="1" x14ac:dyDescent="0.3">
      <c r="A8" s="60">
        <v>6</v>
      </c>
      <c r="B8" s="63" t="s">
        <v>81</v>
      </c>
      <c r="C8" s="64" t="s">
        <v>62</v>
      </c>
      <c r="D8" s="60"/>
      <c r="E8" s="65"/>
      <c r="F8" s="65"/>
    </row>
    <row r="9" spans="1:6" ht="26.25" thickBot="1" x14ac:dyDescent="0.3">
      <c r="A9" s="60">
        <v>7</v>
      </c>
      <c r="B9" s="64" t="s">
        <v>82</v>
      </c>
      <c r="C9" s="64" t="s">
        <v>62</v>
      </c>
      <c r="D9" s="60"/>
      <c r="E9" s="65"/>
      <c r="F9" s="65"/>
    </row>
    <row r="10" spans="1:6" ht="26.25" thickBot="1" x14ac:dyDescent="0.3">
      <c r="A10" s="60">
        <v>8</v>
      </c>
      <c r="B10" s="63" t="s">
        <v>83</v>
      </c>
      <c r="C10" s="64" t="s">
        <v>62</v>
      </c>
      <c r="D10" s="60"/>
      <c r="E10" s="65"/>
      <c r="F10" s="65"/>
    </row>
    <row r="11" spans="1:6" ht="15.75" thickBot="1" x14ac:dyDescent="0.3">
      <c r="A11" s="60">
        <v>9</v>
      </c>
      <c r="B11" s="63" t="s">
        <v>72</v>
      </c>
      <c r="C11" s="64" t="s">
        <v>64</v>
      </c>
      <c r="D11" s="60"/>
      <c r="E11" s="65"/>
      <c r="F11" s="65"/>
    </row>
    <row r="12" spans="1:6" ht="15.75" thickBot="1" x14ac:dyDescent="0.3">
      <c r="A12" s="66" t="s">
        <v>73</v>
      </c>
      <c r="B12" s="67"/>
      <c r="C12" s="95"/>
      <c r="D12" s="96"/>
      <c r="E12" s="97"/>
      <c r="F12" s="68">
        <f>SUM(F3:F11)</f>
        <v>0</v>
      </c>
    </row>
    <row r="13" spans="1:6" ht="24.75" customHeight="1" thickBot="1" x14ac:dyDescent="0.3">
      <c r="A13" s="98" t="s">
        <v>74</v>
      </c>
      <c r="B13" s="98"/>
      <c r="C13" s="99" t="s">
        <v>75</v>
      </c>
      <c r="D13" s="100"/>
      <c r="E13" s="101"/>
      <c r="F13" s="69">
        <f>F12*1.2</f>
        <v>0</v>
      </c>
    </row>
  </sheetData>
  <mergeCells count="6">
    <mergeCell ref="A1:A2"/>
    <mergeCell ref="B1:B2"/>
    <mergeCell ref="C1:C2"/>
    <mergeCell ref="C12:E12"/>
    <mergeCell ref="A13:B13"/>
    <mergeCell ref="C13:E13"/>
  </mergeCells>
  <pageMargins left="0.7" right="0.7" top="0.75" bottom="0.75" header="0.3" footer="0.3"/>
  <pageSetup paperSize="9" scale="9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48FB-AECB-4530-85EA-0B78C4F64DF7}">
  <sheetPr>
    <pageSetUpPr fitToPage="1"/>
  </sheetPr>
  <dimension ref="A1:I20"/>
  <sheetViews>
    <sheetView workbookViewId="0">
      <selection sqref="A1:F14"/>
    </sheetView>
  </sheetViews>
  <sheetFormatPr defaultRowHeight="15" x14ac:dyDescent="0.25"/>
  <cols>
    <col min="1" max="1" width="10" customWidth="1"/>
    <col min="2" max="2" width="76.140625" customWidth="1"/>
    <col min="3" max="3" width="11.140625" customWidth="1"/>
    <col min="4" max="4" width="13" customWidth="1"/>
    <col min="5" max="5" width="13.28515625" customWidth="1"/>
    <col min="6" max="6" width="17.28515625" customWidth="1"/>
    <col min="9" max="9" width="19.85546875" customWidth="1"/>
  </cols>
  <sheetData>
    <row r="1" spans="1:6" ht="60.75" customHeight="1" x14ac:dyDescent="0.25">
      <c r="A1" s="91" t="s">
        <v>52</v>
      </c>
      <c r="B1" s="91" t="s">
        <v>53</v>
      </c>
      <c r="C1" s="93" t="s">
        <v>54</v>
      </c>
      <c r="D1" s="61" t="s">
        <v>55</v>
      </c>
      <c r="E1" s="61" t="s">
        <v>56</v>
      </c>
      <c r="F1" s="61" t="s">
        <v>57</v>
      </c>
    </row>
    <row r="2" spans="1:6" ht="15.75" thickBot="1" x14ac:dyDescent="0.3">
      <c r="A2" s="92"/>
      <c r="B2" s="92"/>
      <c r="C2" s="94"/>
      <c r="D2" s="62" t="s">
        <v>58</v>
      </c>
      <c r="E2" s="62" t="s">
        <v>59</v>
      </c>
      <c r="F2" s="62" t="s">
        <v>60</v>
      </c>
    </row>
    <row r="3" spans="1:6" ht="26.25" thickBot="1" x14ac:dyDescent="0.3">
      <c r="A3" s="60">
        <v>1</v>
      </c>
      <c r="B3" s="63" t="s">
        <v>61</v>
      </c>
      <c r="C3" s="64" t="s">
        <v>62</v>
      </c>
      <c r="D3" s="60">
        <v>172639</v>
      </c>
      <c r="E3" s="65">
        <v>15.06</v>
      </c>
      <c r="F3" s="65">
        <f>D3*E3</f>
        <v>2599943.3400000003</v>
      </c>
    </row>
    <row r="4" spans="1:6" ht="15.75" thickBot="1" x14ac:dyDescent="0.3">
      <c r="A4" s="60">
        <v>2</v>
      </c>
      <c r="B4" s="63" t="s">
        <v>63</v>
      </c>
      <c r="C4" s="64" t="s">
        <v>64</v>
      </c>
      <c r="D4" s="60">
        <v>7280</v>
      </c>
      <c r="E4" s="65">
        <v>489.35</v>
      </c>
      <c r="F4" s="65">
        <f t="shared" ref="F4:F12" si="0">D4*E4</f>
        <v>3562468</v>
      </c>
    </row>
    <row r="5" spans="1:6" ht="26.25" thickBot="1" x14ac:dyDescent="0.3">
      <c r="A5" s="60">
        <v>3</v>
      </c>
      <c r="B5" s="63" t="s">
        <v>65</v>
      </c>
      <c r="C5" s="64" t="s">
        <v>64</v>
      </c>
      <c r="D5" s="60">
        <v>7280</v>
      </c>
      <c r="E5" s="65">
        <v>1321.26</v>
      </c>
      <c r="F5" s="65">
        <f t="shared" si="0"/>
        <v>9618772.8000000007</v>
      </c>
    </row>
    <row r="6" spans="1:6" ht="26.25" thickBot="1" x14ac:dyDescent="0.3">
      <c r="A6" s="60">
        <v>4</v>
      </c>
      <c r="B6" s="63" t="s">
        <v>66</v>
      </c>
      <c r="C6" s="64" t="s">
        <v>64</v>
      </c>
      <c r="D6" s="60">
        <v>7280</v>
      </c>
      <c r="E6" s="65">
        <v>734.04</v>
      </c>
      <c r="F6" s="65">
        <f t="shared" si="0"/>
        <v>5343811.2</v>
      </c>
    </row>
    <row r="7" spans="1:6" ht="51.75" thickBot="1" x14ac:dyDescent="0.3">
      <c r="A7" s="60">
        <v>5</v>
      </c>
      <c r="B7" s="63" t="s">
        <v>67</v>
      </c>
      <c r="C7" s="64" t="s">
        <v>64</v>
      </c>
      <c r="D7" s="60">
        <v>7280</v>
      </c>
      <c r="E7" s="65">
        <v>1321.26</v>
      </c>
      <c r="F7" s="65">
        <f t="shared" si="0"/>
        <v>9618772.8000000007</v>
      </c>
    </row>
    <row r="8" spans="1:6" ht="26.25" thickBot="1" x14ac:dyDescent="0.3">
      <c r="A8" s="60">
        <v>6</v>
      </c>
      <c r="B8" s="63" t="s">
        <v>68</v>
      </c>
      <c r="C8" s="64" t="s">
        <v>62</v>
      </c>
      <c r="D8" s="60">
        <v>55126</v>
      </c>
      <c r="E8" s="65">
        <v>120.5</v>
      </c>
      <c r="F8" s="65">
        <f t="shared" si="0"/>
        <v>6642683</v>
      </c>
    </row>
    <row r="9" spans="1:6" ht="39" thickBot="1" x14ac:dyDescent="0.3">
      <c r="A9" s="60">
        <v>7</v>
      </c>
      <c r="B9" s="64" t="s">
        <v>69</v>
      </c>
      <c r="C9" s="64" t="s">
        <v>62</v>
      </c>
      <c r="D9" s="60">
        <v>117513</v>
      </c>
      <c r="E9" s="65">
        <v>60.253</v>
      </c>
      <c r="F9" s="65">
        <f t="shared" si="0"/>
        <v>7080510.7889999999</v>
      </c>
    </row>
    <row r="10" spans="1:6" ht="26.25" thickBot="1" x14ac:dyDescent="0.3">
      <c r="A10" s="60">
        <v>8</v>
      </c>
      <c r="B10" s="63" t="s">
        <v>70</v>
      </c>
      <c r="C10" s="64" t="s">
        <v>62</v>
      </c>
      <c r="D10" s="60">
        <v>172639</v>
      </c>
      <c r="E10" s="65">
        <v>60.253</v>
      </c>
      <c r="F10" s="65">
        <f t="shared" si="0"/>
        <v>10402017.666999999</v>
      </c>
    </row>
    <row r="11" spans="1:6" ht="26.25" thickBot="1" x14ac:dyDescent="0.3">
      <c r="A11" s="60">
        <v>9</v>
      </c>
      <c r="B11" s="63" t="s">
        <v>71</v>
      </c>
      <c r="C11" s="64" t="s">
        <v>62</v>
      </c>
      <c r="D11" s="60">
        <v>172639</v>
      </c>
      <c r="E11" s="65">
        <v>105.44</v>
      </c>
      <c r="F11" s="65">
        <f t="shared" si="0"/>
        <v>18203056.16</v>
      </c>
    </row>
    <row r="12" spans="1:6" ht="73.5" customHeight="1" thickBot="1" x14ac:dyDescent="0.3">
      <c r="A12" s="60">
        <v>10</v>
      </c>
      <c r="B12" s="63" t="s">
        <v>72</v>
      </c>
      <c r="C12" s="64" t="s">
        <v>64</v>
      </c>
      <c r="D12" s="60">
        <v>7280</v>
      </c>
      <c r="E12" s="65">
        <v>293.61</v>
      </c>
      <c r="F12" s="65">
        <f t="shared" si="0"/>
        <v>2137480.8000000003</v>
      </c>
    </row>
    <row r="13" spans="1:6" ht="15.75" thickBot="1" x14ac:dyDescent="0.3">
      <c r="A13" s="66" t="s">
        <v>73</v>
      </c>
      <c r="B13" s="67"/>
      <c r="C13" s="95"/>
      <c r="D13" s="96"/>
      <c r="E13" s="97"/>
      <c r="F13" s="68">
        <f>SUM(F3:F12)</f>
        <v>75209516.555999994</v>
      </c>
    </row>
    <row r="14" spans="1:6" ht="24.75" customHeight="1" thickBot="1" x14ac:dyDescent="0.3">
      <c r="A14" s="98" t="s">
        <v>74</v>
      </c>
      <c r="B14" s="98"/>
      <c r="C14" s="99" t="s">
        <v>75</v>
      </c>
      <c r="D14" s="100"/>
      <c r="E14" s="101"/>
      <c r="F14" s="69">
        <f>F13*1.2</f>
        <v>90251419.867199987</v>
      </c>
    </row>
    <row r="17" spans="4:9" x14ac:dyDescent="0.25">
      <c r="I17">
        <v>49340709.856799997</v>
      </c>
    </row>
    <row r="18" spans="4:9" x14ac:dyDescent="0.25">
      <c r="I18">
        <v>47323196.090399995</v>
      </c>
    </row>
    <row r="20" spans="4:9" x14ac:dyDescent="0.25">
      <c r="D20">
        <v>117609</v>
      </c>
      <c r="E20">
        <f>D20/5</f>
        <v>23521.8</v>
      </c>
      <c r="F20">
        <f>E20*301</f>
        <v>7080061.7999999998</v>
      </c>
    </row>
  </sheetData>
  <mergeCells count="6">
    <mergeCell ref="A1:A2"/>
    <mergeCell ref="B1:B2"/>
    <mergeCell ref="C1:C2"/>
    <mergeCell ref="C13:E13"/>
    <mergeCell ref="A14:B14"/>
    <mergeCell ref="C14:E14"/>
  </mergeCells>
  <pageMargins left="0.7" right="0.7" top="0.75" bottom="0.75" header="0.3" footer="0.3"/>
  <pageSetup paperSize="9" scale="9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3</vt:i4>
      </vt:variant>
    </vt:vector>
  </HeadingPairs>
  <TitlesOfParts>
    <vt:vector size="7" baseType="lpstr">
      <vt:lpstr>ÇIKTI</vt:lpstr>
      <vt:lpstr>İhaleNo_Adet_YM_Birimler</vt:lpstr>
      <vt:lpstr>Birim_Fiyat_Oluşturma</vt:lpstr>
      <vt:lpstr>Birim_Fiyat_İyileştirme</vt:lpstr>
      <vt:lpstr>Birim_Fiyat_İyileştirme!Yazdırma_Alanı</vt:lpstr>
      <vt:lpstr>Birim_Fiyat_Oluşturma!Yazdırma_Alanı</vt:lpstr>
      <vt:lpstr>ÇIKTI!Yazdırma_Alanı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Numan Soyyiğit</dc:creator>
  <cp:lastModifiedBy>Numan Soyyiğit</cp:lastModifiedBy>
  <dcterms:created xsi:type="dcterms:W3CDTF">2026-05-07T12:24:40Z</dcterms:created>
  <dcterms:modified xsi:type="dcterms:W3CDTF">2026-05-08T12:48:32Z</dcterms:modified>
</cp:coreProperties>
</file>